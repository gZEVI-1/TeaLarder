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FOLDER\другое\"/>
    </mc:Choice>
  </mc:AlternateContent>
  <xr:revisionPtr revIDLastSave="0" documentId="13_ncr:1_{E653B7E8-4DF6-4755-8886-1DC477ED94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Лист1!$B$4:$V$112</definedName>
    <definedName name="_xlnm._FilterDatabase">Лист1!$B$4:$M$91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K7" i="1"/>
  <c r="K8" i="1"/>
  <c r="K6" i="1"/>
</calcChain>
</file>

<file path=xl/sharedStrings.xml><?xml version="1.0" encoding="utf-8"?>
<sst xmlns="http://schemas.openxmlformats.org/spreadsheetml/2006/main" count="571" uniqueCount="271">
  <si>
    <t>Чайная табличка</t>
  </si>
  <si>
    <t>стоит посмотреть</t>
  </si>
  <si>
    <t>Чаи</t>
  </si>
  <si>
    <t>Рецепты</t>
  </si>
  <si>
    <t>№ чая</t>
  </si>
  <si>
    <t>Наличие</t>
  </si>
  <si>
    <t>Тип чая</t>
  </si>
  <si>
    <t>Название</t>
  </si>
  <si>
    <t>Место покупки</t>
  </si>
  <si>
    <t>Комментарий</t>
  </si>
  <si>
    <t>Цена</t>
  </si>
  <si>
    <t>Оценка</t>
  </si>
  <si>
    <t>№ рецепта</t>
  </si>
  <si>
    <t>Номера чая (чаев)</t>
  </si>
  <si>
    <t>Тип приготовления</t>
  </si>
  <si>
    <t>Рецепт</t>
  </si>
  <si>
    <t>-</t>
  </si>
  <si>
    <t>Шу пуэр</t>
  </si>
  <si>
    <t>пуэрные головы</t>
  </si>
  <si>
    <t>физ. Маг. В водолее</t>
  </si>
  <si>
    <t>хорошо для варки</t>
  </si>
  <si>
    <t>1,2,3</t>
  </si>
  <si>
    <t>Варка(Лу Юи)</t>
  </si>
  <si>
    <r>
      <rPr>
        <sz val="11"/>
        <color rgb="FF000000"/>
        <rFont val="Calibri"/>
        <family val="2"/>
      </rPr>
      <t xml:space="preserve">шен*2 (З. печать семь сыновей)
шу </t>
    </r>
    <r>
      <rPr>
        <sz val="11"/>
        <color theme="1"/>
        <rFont val="Calibri"/>
        <family val="2"/>
        <scheme val="minor"/>
      </rPr>
      <t>головы*3 
шу красный бык(2022)*3   
перед варкой замочить в холодной воде ~10м варить по Лу Юю (~15г на 700мл)</t>
    </r>
  </si>
  <si>
    <t>Красный бык 2022</t>
  </si>
  <si>
    <t>озон (mf tea)</t>
  </si>
  <si>
    <t>топ шу</t>
  </si>
  <si>
    <t>4957 руб/кг</t>
  </si>
  <si>
    <t>Термос</t>
  </si>
  <si>
    <t>остатки шена после 3-4 проливов закидываем в термос и заливаем ~97гр водой на 4-5 часов</t>
  </si>
  <si>
    <t>+</t>
  </si>
  <si>
    <t>Шэн пуэр</t>
  </si>
  <si>
    <t>З.печать семь сыновей</t>
  </si>
  <si>
    <t>слишком сильная пресовка</t>
  </si>
  <si>
    <t>2280 руб/кг</t>
  </si>
  <si>
    <r>
      <rPr>
        <sz val="11"/>
        <color rgb="FF000000"/>
        <rFont val="Calibri"/>
        <family val="2"/>
      </rPr>
      <t>1г на 100мл
95 гр,~2часа</t>
    </r>
  </si>
  <si>
    <t>Улун (светлый)</t>
  </si>
  <si>
    <t>Те Гуань Инь</t>
  </si>
  <si>
    <t>тусклый, без запаха и слабый вкус, возможно, плохая партия</t>
  </si>
  <si>
    <t>5 жемчужин на 550-600 мл крутым кипятком</t>
  </si>
  <si>
    <t>Улун (темный)</t>
  </si>
  <si>
    <t>Да Хун Пао</t>
  </si>
  <si>
    <t>вкус нормальный, аромат хороший</t>
  </si>
  <si>
    <t>Красный</t>
  </si>
  <si>
    <r>
      <rPr>
        <sz val="11"/>
        <color rgb="FF000000"/>
        <rFont val="Calibri"/>
        <family val="2"/>
      </rPr>
      <t>Дянь Хун Цзинь Хао
(Золотая обезьяна)</t>
    </r>
  </si>
  <si>
    <t>бархатистый, сладкий</t>
  </si>
  <si>
    <t>Шуй Сянь</t>
  </si>
  <si>
    <t>нужно класть больше чая</t>
  </si>
  <si>
    <t>Дянь Хун (премиум)</t>
  </si>
  <si>
    <r>
      <rPr>
        <sz val="11"/>
        <color rgb="FF000000"/>
        <rFont val="Calibri"/>
        <family val="2"/>
      </rPr>
      <t xml:space="preserve">хороший дянь хун, но первые 
проливы с нотами шиповника </t>
    </r>
  </si>
  <si>
    <t>Зеленый</t>
  </si>
  <si>
    <t>Лун Цзин</t>
  </si>
  <si>
    <t>сладкий, немного хлебный</t>
  </si>
  <si>
    <t>Art of Tea</t>
  </si>
  <si>
    <t>хороший запах, средний вкус</t>
  </si>
  <si>
    <t>8400 руб/кг</t>
  </si>
  <si>
    <t>Дянь Хун со слоном 2022</t>
  </si>
  <si>
    <t>топ заваривенем</t>
  </si>
  <si>
    <t>6500 руб/кг</t>
  </si>
  <si>
    <t>Мао Се Ван</t>
  </si>
  <si>
    <t>мягкий, ворсистый</t>
  </si>
  <si>
    <t>7600 руб/кг</t>
  </si>
  <si>
    <t>озон (TeaMur)</t>
  </si>
  <si>
    <t>примерно так же как и прошлый</t>
  </si>
  <si>
    <t>5481 руб/кг</t>
  </si>
  <si>
    <t>Гунтин Императорский Дар 2014</t>
  </si>
  <si>
    <t>озон (Чайная мастерская)</t>
  </si>
  <si>
    <t>типичный выдержанный гкнтин</t>
  </si>
  <si>
    <t>3159 руб/кг</t>
  </si>
  <si>
    <t>слишком травянистый</t>
  </si>
  <si>
    <t>4430 руб/кг</t>
  </si>
  <si>
    <t>Старая деревня 2017</t>
  </si>
  <si>
    <t>запах бани топ)</t>
  </si>
  <si>
    <t>2240 руб/кг</t>
  </si>
  <si>
    <t>Булан 2012</t>
  </si>
  <si>
    <t>озон (ИП Овсянова)</t>
  </si>
  <si>
    <t>дефекты</t>
  </si>
  <si>
    <t>2740 руб/кг</t>
  </si>
  <si>
    <t>Маття</t>
  </si>
  <si>
    <t>хз как маттю коментировать</t>
  </si>
  <si>
    <t>Белый</t>
  </si>
  <si>
    <t>Бай Хао Инь Чжень</t>
  </si>
  <si>
    <t>мягкий, цветочный (нужна мягкая вода)</t>
  </si>
  <si>
    <t>Ароматизированный</t>
  </si>
  <si>
    <t>Улун с эстрагоном</t>
  </si>
  <si>
    <t>трэш</t>
  </si>
  <si>
    <t>Ин Син Улун</t>
  </si>
  <si>
    <t>слишком сложный запах, возможно он ароматизированный</t>
  </si>
  <si>
    <t>Дун Дин</t>
  </si>
  <si>
    <t>нежный, слегка хлебный</t>
  </si>
  <si>
    <t>Юн Джень Гунтин (2023 синь вэнь)</t>
  </si>
  <si>
    <t>гарантовая нефть, мало проливов</t>
  </si>
  <si>
    <t>3130 руб/кг</t>
  </si>
  <si>
    <t>Улун (светлый)ГД</t>
  </si>
  <si>
    <t>Фен Хуан дан Цун</t>
  </si>
  <si>
    <t>миндалевый запах в сухом и после промывки, вкус напоминает тги</t>
  </si>
  <si>
    <t>Беловласая обезьяна (Бай Хао)</t>
  </si>
  <si>
    <t>легкий, похож на зеленый мао фен</t>
  </si>
  <si>
    <t>Ганпаудер</t>
  </si>
  <si>
    <t>Жемчужины с жасмином</t>
  </si>
  <si>
    <t>хорошо р4 , только главное не передерживать</t>
  </si>
  <si>
    <t>норм</t>
  </si>
  <si>
    <t>Улун (светлый) ЮФ</t>
  </si>
  <si>
    <t>tasty coffee</t>
  </si>
  <si>
    <t>оч дешево 250г\400р, за эту цену норм, а так не оч</t>
  </si>
  <si>
    <t>3200 руб/кг</t>
  </si>
  <si>
    <t>Улун (темный)УИ</t>
  </si>
  <si>
    <t>озон (Чайное состояние)</t>
  </si>
  <si>
    <t>мало проливов, настаивание неочень</t>
  </si>
  <si>
    <t>4620 руб/кг</t>
  </si>
  <si>
    <t>Улун (габа)ТВ</t>
  </si>
  <si>
    <t>Габа Алишань</t>
  </si>
  <si>
    <t>первая габа ,лучше чем булан</t>
  </si>
  <si>
    <t>21190 руб/кг (6880 руб/кг)</t>
  </si>
  <si>
    <t>Габа Булан</t>
  </si>
  <si>
    <t>лучше в настаивании+ неплохо с шу</t>
  </si>
  <si>
    <t>4180 руб/кг</t>
  </si>
  <si>
    <t>Гунтин Ван 2012</t>
  </si>
  <si>
    <t>спидометр. Классика. Бодрый креозотный шу</t>
  </si>
  <si>
    <t>7843 руб/кг</t>
  </si>
  <si>
    <t>Гао Сян Хун Фен</t>
  </si>
  <si>
    <t>медовый, бархатистый, свежий</t>
  </si>
  <si>
    <t>9800 руб/кг</t>
  </si>
  <si>
    <t>Чжан Сян Гу Шу 2015 (пробник)</t>
  </si>
  <si>
    <t>пробник</t>
  </si>
  <si>
    <t>бесплатно</t>
  </si>
  <si>
    <t>Инь Чжень</t>
  </si>
  <si>
    <t>Лапсанг Сушонг (копченый)</t>
  </si>
  <si>
    <t>Да Хун Пао(Св.об)</t>
  </si>
  <si>
    <t>мега ароматный, как и всегда</t>
  </si>
  <si>
    <t>Да Хун Пао №280(Т.об)</t>
  </si>
  <si>
    <t>среднячок</t>
  </si>
  <si>
    <t>Лао Ча Тоу 2006</t>
  </si>
  <si>
    <t>озон (WOW!ЧАЙ!)</t>
  </si>
  <si>
    <t>слабо</t>
  </si>
  <si>
    <t>6280 руб/кг</t>
  </si>
  <si>
    <t>Хей ча</t>
  </si>
  <si>
    <t>Бай Ша Си (Цзинь Хуа)</t>
  </si>
  <si>
    <t>озон (Tea875 Store)</t>
  </si>
  <si>
    <t>первая хей ча, в целом неплохо</t>
  </si>
  <si>
    <t>7220 руб/кг</t>
  </si>
  <si>
    <t>Маоцзянь Е Шэн, весна 2024 г</t>
  </si>
  <si>
    <t>10000 руб/кг</t>
  </si>
  <si>
    <t>Дянь Хун, 2024 г</t>
  </si>
  <si>
    <t>7000 руб/кг</t>
  </si>
  <si>
    <t>Юн Чжень «‎Золотой Бык», 2021 г</t>
  </si>
  <si>
    <t>9943 руб/кг</t>
  </si>
  <si>
    <t>Пробник</t>
  </si>
  <si>
    <t>Да Хун Пао Нун Сян(пробник)</t>
  </si>
  <si>
    <t>Шентай Дянь хун 2024г</t>
  </si>
  <si>
    <t>пробник. Шиповник, малина, мёд</t>
  </si>
  <si>
    <t>Сюэ Я (снежная почка) всена 2024г</t>
  </si>
  <si>
    <t>Дянь Хун Ми Сян (Мэнку)май 2023(пробник)</t>
  </si>
  <si>
    <t>таблетка.Очень вкусно насыщенно, вкус медово-шоколадный , питкий</t>
  </si>
  <si>
    <t>Старые деревья Мэнхай апр.2023(пробник)</t>
  </si>
  <si>
    <t>шоумей.Липовый мёд, сладкая тыква</t>
  </si>
  <si>
    <t>Да Лун Шань(Сишуанбаньна) март2023 (пробник)</t>
  </si>
  <si>
    <t>Мэнхай (пробник) 2023</t>
  </si>
  <si>
    <t>Улун (темный)ГД</t>
  </si>
  <si>
    <t>озон (ЧайК.А.)</t>
  </si>
  <si>
    <t>7760 руб/кг</t>
  </si>
  <si>
    <t>Гунтин Юндэ (Юн Фа 2011г.)</t>
  </si>
  <si>
    <t>2190 руб/кг</t>
  </si>
  <si>
    <t>"9978" "Подсолнухи"марки "Лао Тун Чжи"  от фабрики ХайВань, 2024 г</t>
  </si>
  <si>
    <t>6920 руб/кг</t>
  </si>
  <si>
    <t>"Гу Шу Чунь Сян" от фабрики Синь Вэнь, 2018 г.</t>
  </si>
  <si>
    <t>6921 руб/кг</t>
  </si>
  <si>
    <t>Юн Чжэнь "Белый лотос" от фабрики Синь Вэнь. 2023 г.</t>
  </si>
  <si>
    <t>тотальная нефть</t>
  </si>
  <si>
    <t>4550 руб/кг</t>
  </si>
  <si>
    <t>Цзинь Цзюнь Мэй</t>
  </si>
  <si>
    <t>10860 руб/кг</t>
  </si>
  <si>
    <t>Габа изумрудная</t>
  </si>
  <si>
    <t>8420 руб/кг</t>
  </si>
  <si>
    <t>Шен блин 200г</t>
  </si>
  <si>
    <t>Хайнань 25 хороший магаз</t>
  </si>
  <si>
    <t>27550 руб/кг</t>
  </si>
  <si>
    <t>Шен блин 100г</t>
  </si>
  <si>
    <t>Хайнань 25 плохой магаз</t>
  </si>
  <si>
    <t>7250 руб/кг</t>
  </si>
  <si>
    <t>Да Хун Пао 150г</t>
  </si>
  <si>
    <t>15273 руб/кг</t>
  </si>
  <si>
    <t>Улун (темный) ЮФ</t>
  </si>
  <si>
    <t>Те Гуань Инь темной обжарки 250г</t>
  </si>
  <si>
    <t>22272 руб/кг</t>
  </si>
  <si>
    <t>----</t>
  </si>
  <si>
    <t>Пробник из отеля хайнань</t>
  </si>
  <si>
    <t>Улун (габа)КТ</t>
  </si>
  <si>
    <t>Габа медовая</t>
  </si>
  <si>
    <t>5090 руб/кг</t>
  </si>
  <si>
    <t>Чжуе Цин</t>
  </si>
  <si>
    <t>Чайная карта</t>
  </si>
  <si>
    <t>Отлично в колд брю</t>
  </si>
  <si>
    <t>22000 руб/кг</t>
  </si>
  <si>
    <t>Мао Фен</t>
  </si>
  <si>
    <t>Хороший базовый зеленый</t>
  </si>
  <si>
    <t>Юэ Гуан Бай</t>
  </si>
  <si>
    <t>Необычно, но хорошо</t>
  </si>
  <si>
    <t>14000 руб/кг</t>
  </si>
  <si>
    <t>Тегуаньинь высший сорт</t>
  </si>
  <si>
    <t>15000 руб/кг</t>
  </si>
  <si>
    <t>Бин Гу Шу Бай Ча, 2024 г.</t>
  </si>
  <si>
    <t>6800 руб/кг</t>
  </si>
  <si>
    <t>Габа Наньтоу, премиум</t>
  </si>
  <si>
    <t>много сухофруктов как в запахе, так и во вкусе</t>
  </si>
  <si>
    <t>14800 руб/кг</t>
  </si>
  <si>
    <t>Е Шен Хун Ча из Уишань</t>
  </si>
  <si>
    <t>пахнет креветками</t>
  </si>
  <si>
    <t>Махэй «Деревенский»</t>
  </si>
  <si>
    <t>13600 руб/кг</t>
  </si>
  <si>
    <t>"Ореховый"</t>
  </si>
  <si>
    <t>Жоу Гуй</t>
  </si>
  <si>
    <t>в черных пакетиках. 2 пробника. Хороший дымный</t>
  </si>
  <si>
    <t>13750руб/кг</t>
  </si>
  <si>
    <t>Юн Чжень 2017</t>
  </si>
  <si>
    <t>Дянь Хун</t>
  </si>
  <si>
    <t>7900 руб/кг</t>
  </si>
  <si>
    <t>Сяо чжун</t>
  </si>
  <si>
    <t>1 пробник красный</t>
  </si>
  <si>
    <t>13750 руб/кг</t>
  </si>
  <si>
    <t>Улун (габа) ТВ</t>
  </si>
  <si>
    <t>Габа красная</t>
  </si>
  <si>
    <t>GABA Red TeaMur</t>
  </si>
  <si>
    <t>12310 руб/кг</t>
  </si>
  <si>
    <t>Улун (темный) УИ</t>
  </si>
  <si>
    <t>озон (TeaHunter)</t>
  </si>
  <si>
    <t>6060 руб/кг</t>
  </si>
  <si>
    <t>Синьян Маоцзянь</t>
  </si>
  <si>
    <t>озон (leaves)</t>
  </si>
  <si>
    <t>2720 руб/кг</t>
  </si>
  <si>
    <t>У И Жоу Гуй</t>
  </si>
  <si>
    <t>10030 руб/кг</t>
  </si>
  <si>
    <t>Да Хун Пао Тяньфу</t>
  </si>
  <si>
    <t>озон (TeaYunMen)</t>
  </si>
  <si>
    <t>4040 руб/кг</t>
  </si>
  <si>
    <t>Те Гуфнь Инь</t>
  </si>
  <si>
    <t>озон (Magger)</t>
  </si>
  <si>
    <t>Габа-белый хейча</t>
  </si>
  <si>
    <t>Красный-шу хейча</t>
  </si>
  <si>
    <t>озон (Горьков Чай)</t>
  </si>
  <si>
    <t>11666 руб/кг</t>
  </si>
  <si>
    <t>8750 руб/кг</t>
  </si>
  <si>
    <t>Юн Фа Бин Дао 2012</t>
  </si>
  <si>
    <t>Каа 2013</t>
  </si>
  <si>
    <t xml:space="preserve">Фен Хуан дан Цун </t>
  </si>
  <si>
    <t>4000 руб/кг</t>
  </si>
  <si>
    <t xml:space="preserve"> 4000 руб/кг</t>
  </si>
  <si>
    <t xml:space="preserve">Тайпин Хоу Куй </t>
  </si>
  <si>
    <t>6750 руб/кг</t>
  </si>
  <si>
    <t>Чжэн Шань Сяочжун</t>
  </si>
  <si>
    <t>Шанхай, 1этаж 1 женщина</t>
  </si>
  <si>
    <t xml:space="preserve">Бай Му Дань </t>
  </si>
  <si>
    <t>Шанхай, 1этаж перед выходом</t>
  </si>
  <si>
    <t>12000 руб/кг</t>
  </si>
  <si>
    <t>Те Гуань Инь Домашний</t>
  </si>
  <si>
    <t>6000 руб/кг</t>
  </si>
  <si>
    <t>Шен пуэр</t>
  </si>
  <si>
    <t>???</t>
  </si>
  <si>
    <t>Шанхай, 2этаж, где чайник</t>
  </si>
  <si>
    <t>144000 руб/кг</t>
  </si>
  <si>
    <t>Хуа Сян Жоу Гуй</t>
  </si>
  <si>
    <t>11000 руб/кг</t>
  </si>
  <si>
    <t>13000 руб/кг</t>
  </si>
  <si>
    <t>20000 руб/кг</t>
  </si>
  <si>
    <t>31000 руб/кг</t>
  </si>
  <si>
    <t>запах пареной свелы и картофельной кажуры</t>
  </si>
  <si>
    <t>цена правильная)</t>
  </si>
  <si>
    <t>Сяо чжун "сахарный"</t>
  </si>
  <si>
    <t>Сяо чжун из Тун Му</t>
  </si>
  <si>
    <t>Улун (светлый) ТВ</t>
  </si>
  <si>
    <t>Лишань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</si>
</sst>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333333"/>
      <name val="Calibri"/>
      <family val="2"/>
    </font>
    <font>
      <sz val="11"/>
      <color rgb="FF070707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</borders>
  <cellStyleXfs count="27">
    <xf numFmtId="0" fontId="0" fillId="0" borderId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6" fillId="8" borderId="0" applyNumberFormat="0" applyBorder="0" applyAlignment="0" applyProtection="0"/>
    <xf numFmtId="0" fontId="15" fillId="0" borderId="6" applyNumberFormat="0" applyFill="0" applyAlignment="0" applyProtection="0"/>
    <xf numFmtId="0" fontId="14" fillId="7" borderId="5" applyNumberFormat="0" applyAlignment="0" applyProtection="0"/>
    <xf numFmtId="0" fontId="13" fillId="0" borderId="4" applyNumberFormat="0" applyFill="0" applyAlignment="0" applyProtection="0"/>
    <xf numFmtId="0" fontId="12" fillId="6" borderId="3" applyNumberFormat="0" applyAlignment="0" applyProtection="0"/>
    <xf numFmtId="0" fontId="11" fillId="5" borderId="3" applyNumberFormat="0" applyAlignment="0" applyProtection="0"/>
    <xf numFmtId="0" fontId="10" fillId="4" borderId="0" applyNumberFormat="0" applyBorder="0" applyAlignment="0" applyProtection="0"/>
    <xf numFmtId="0" fontId="9" fillId="3" borderId="0" applyNumberFormat="0" applyBorder="0" applyAlignment="0" applyProtection="0"/>
    <xf numFmtId="0" fontId="8" fillId="2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2" applyNumberFormat="0" applyFill="0" applyAlignment="0" applyProtection="0"/>
    <xf numFmtId="4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0" borderId="23" xfId="5" applyFont="1" applyBorder="1" applyAlignment="1">
      <alignment horizontal="center" vertical="center"/>
    </xf>
    <xf numFmtId="0" fontId="2" fillId="0" borderId="24" xfId="0" applyFont="1" applyBorder="1" applyAlignment="1">
      <alignment vertical="center" wrapText="1"/>
    </xf>
    <xf numFmtId="0" fontId="2" fillId="0" borderId="26" xfId="5" applyFont="1" applyBorder="1" applyAlignment="1">
      <alignment horizontal="center" vertical="center"/>
    </xf>
    <xf numFmtId="0" fontId="2" fillId="0" borderId="27" xfId="0" applyFont="1" applyBorder="1" applyAlignment="1">
      <alignment vertical="center" wrapText="1"/>
    </xf>
    <xf numFmtId="0" fontId="2" fillId="0" borderId="27" xfId="0" applyFont="1" applyBorder="1" applyAlignment="1">
      <alignment vertical="center"/>
    </xf>
    <xf numFmtId="0" fontId="0" fillId="0" borderId="25" xfId="0" applyBorder="1"/>
  </cellStyleXfs>
  <cellXfs count="64">
    <xf numFmtId="0" fontId="0" fillId="0" borderId="0" xfId="0"/>
    <xf numFmtId="0" fontId="2" fillId="0" borderId="0" xfId="3" applyFont="1" applyFill="1"/>
    <xf numFmtId="0" fontId="2" fillId="0" borderId="0" xfId="17" applyNumberFormat="1" applyFont="1" applyAlignment="1">
      <alignment horizontal="left"/>
    </xf>
    <xf numFmtId="0" fontId="2" fillId="0" borderId="0" xfId="22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13" xfId="8" applyFont="1" applyFill="1" applyBorder="1"/>
    <xf numFmtId="0" fontId="2" fillId="0" borderId="14" xfId="4" applyFont="1" applyFill="1" applyBorder="1"/>
    <xf numFmtId="0" fontId="2" fillId="0" borderId="15" xfId="1" applyFont="1" applyFill="1" applyBorder="1"/>
    <xf numFmtId="0" fontId="2" fillId="0" borderId="15" xfId="24" applyBorder="1" applyAlignment="1">
      <alignment horizontal="left"/>
    </xf>
    <xf numFmtId="0" fontId="2" fillId="0" borderId="15" xfId="6" applyFont="1" applyFill="1" applyBorder="1" applyAlignment="1">
      <alignment vertical="top"/>
    </xf>
    <xf numFmtId="0" fontId="2" fillId="0" borderId="16" xfId="7" applyFont="1" applyBorder="1" applyAlignment="1">
      <alignment horizontal="left" vertical="center"/>
    </xf>
    <xf numFmtId="0" fontId="2" fillId="0" borderId="15" xfId="10" applyFont="1" applyFill="1" applyBorder="1" applyAlignment="1">
      <alignment horizontal="center" vertical="center"/>
    </xf>
    <xf numFmtId="0" fontId="2" fillId="0" borderId="18" xfId="14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0" borderId="23" xfId="5" applyFont="1" applyBorder="1" applyAlignment="1">
      <alignment horizontal="center" vertical="center"/>
    </xf>
    <xf numFmtId="0" fontId="2" fillId="0" borderId="24" xfId="21" applyBorder="1" applyAlignment="1">
      <alignment vertical="center" wrapText="1"/>
    </xf>
    <xf numFmtId="0" fontId="2" fillId="0" borderId="26" xfId="5" applyFont="1" applyBorder="1" applyAlignment="1">
      <alignment horizontal="center" vertical="center"/>
    </xf>
    <xf numFmtId="0" fontId="2" fillId="0" borderId="27" xfId="21" applyBorder="1" applyAlignment="1">
      <alignment vertical="center" wrapText="1"/>
    </xf>
    <xf numFmtId="0" fontId="2" fillId="0" borderId="27" xfId="25">
      <alignment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" fillId="0" borderId="28" xfId="5" applyFont="1" applyBorder="1" applyAlignment="1">
      <alignment horizontal="center" vertical="center"/>
    </xf>
    <xf numFmtId="0" fontId="2" fillId="0" borderId="29" xfId="5" applyFont="1" applyBorder="1" applyAlignment="1">
      <alignment horizontal="center" vertical="center"/>
    </xf>
    <xf numFmtId="0" fontId="0" fillId="0" borderId="29" xfId="0" applyBorder="1"/>
    <xf numFmtId="0" fontId="2" fillId="0" borderId="22" xfId="2" applyFont="1" applyFill="1" applyBorder="1" applyAlignment="1">
      <alignment horizontal="center" vertical="center"/>
    </xf>
    <xf numFmtId="0" fontId="2" fillId="0" borderId="23" xfId="15" applyNumberFormat="1" applyFont="1" applyBorder="1" applyAlignment="1">
      <alignment horizontal="left" vertical="center"/>
    </xf>
    <xf numFmtId="0" fontId="2" fillId="0" borderId="23" xfId="19" applyFont="1" applyBorder="1" applyAlignment="1">
      <alignment vertical="top"/>
    </xf>
    <xf numFmtId="0" fontId="0" fillId="0" borderId="23" xfId="0" applyBorder="1"/>
    <xf numFmtId="0" fontId="2" fillId="0" borderId="24" xfId="20" applyFont="1" applyBorder="1" applyAlignment="1">
      <alignment horizontal="center" vertical="center"/>
    </xf>
    <xf numFmtId="0" fontId="2" fillId="0" borderId="25" xfId="2" applyFont="1" applyFill="1" applyBorder="1" applyAlignment="1">
      <alignment horizontal="center" vertical="center"/>
    </xf>
    <xf numFmtId="0" fontId="2" fillId="0" borderId="26" xfId="15" applyNumberFormat="1" applyFont="1" applyBorder="1" applyAlignment="1">
      <alignment horizontal="left" vertical="center"/>
    </xf>
    <xf numFmtId="0" fontId="2" fillId="0" borderId="26" xfId="19" applyFont="1" applyBorder="1" applyAlignment="1">
      <alignment vertical="top"/>
    </xf>
    <xf numFmtId="0" fontId="2" fillId="0" borderId="27" xfId="20" applyFont="1" applyBorder="1" applyAlignment="1">
      <alignment horizontal="center" vertical="center"/>
    </xf>
    <xf numFmtId="0" fontId="2" fillId="0" borderId="26" xfId="16" applyNumberFormat="1" applyFont="1" applyBorder="1" applyAlignment="1">
      <alignment vertical="top" wrapText="1"/>
    </xf>
    <xf numFmtId="0" fontId="2" fillId="0" borderId="26" xfId="22" applyBorder="1" applyAlignment="1">
      <alignment horizontal="left" vertical="center" wrapText="1"/>
    </xf>
    <xf numFmtId="0" fontId="4" fillId="0" borderId="26" xfId="13" applyFont="1" applyBorder="1" applyAlignment="1">
      <alignment horizontal="left" vertical="center"/>
    </xf>
    <xf numFmtId="0" fontId="2" fillId="0" borderId="26" xfId="26" applyFont="1" applyBorder="1" applyAlignment="1">
      <alignment horizontal="left" vertical="top" wrapText="1"/>
    </xf>
    <xf numFmtId="0" fontId="4" fillId="0" borderId="26" xfId="23" applyFont="1" applyAlignment="1">
      <alignment horizontal="left"/>
    </xf>
    <xf numFmtId="0" fontId="5" fillId="0" borderId="26" xfId="12" applyFont="1" applyFill="1" applyBorder="1" applyAlignment="1">
      <alignment vertical="center" wrapText="1"/>
    </xf>
    <xf numFmtId="0" fontId="4" fillId="0" borderId="26" xfId="11" applyFont="1" applyFill="1" applyBorder="1"/>
    <xf numFmtId="0" fontId="4" fillId="0" borderId="26" xfId="18" applyFont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2" fillId="0" borderId="0" xfId="3" applyFont="1" applyFill="1" applyAlignment="1">
      <alignment horizontal="center"/>
    </xf>
    <xf numFmtId="0" fontId="2" fillId="0" borderId="15" xfId="1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6" xfId="15" applyNumberFormat="1" applyFont="1" applyBorder="1" applyAlignment="1">
      <alignment horizontal="center" vertical="center"/>
    </xf>
    <xf numFmtId="0" fontId="2" fillId="0" borderId="17" xfId="9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7" xfId="9" applyFont="1" applyFill="1" applyBorder="1"/>
    <xf numFmtId="0" fontId="0" fillId="0" borderId="26" xfId="0" applyBorder="1" applyAlignment="1">
      <alignment wrapText="1"/>
    </xf>
  </cellXfs>
  <cellStyles count="18">
    <cellStyle name="20% — акцент1" xfId="3" builtinId="30"/>
    <cellStyle name="40% — акцент1" xfId="2" builtinId="31"/>
    <cellStyle name="60% — акцент1" xfId="1" builtinId="32"/>
    <cellStyle name="Акцент1" xfId="4" builtinId="29"/>
    <cellStyle name="Ввод " xfId="9" builtinId="20"/>
    <cellStyle name="Вычисление" xfId="8" builtinId="22"/>
    <cellStyle name="Денежный" xfId="15" builtinId="4"/>
    <cellStyle name="Заголовок 3" xfId="14" builtinId="18"/>
    <cellStyle name="Заголовок 4" xfId="13" builtinId="19"/>
    <cellStyle name="Итог" xfId="5" builtinId="25"/>
    <cellStyle name="Контрольная ячейка" xfId="6" builtinId="23"/>
    <cellStyle name="Нейтральный" xfId="10" builtinId="28"/>
    <cellStyle name="Обычный" xfId="0" builtinId="0"/>
    <cellStyle name="Плохой" xfId="11" builtinId="27"/>
    <cellStyle name="Связанная ячейка" xfId="7" builtinId="24"/>
    <cellStyle name="Финансовый" xfId="17" builtinId="3"/>
    <cellStyle name="Финансовый [0]" xfId="16" builtinId="6"/>
    <cellStyle name="Хороший" xfId="1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34"/>
  <sheetViews>
    <sheetView tabSelected="1" workbookViewId="0">
      <selection activeCell="O7" sqref="O7"/>
    </sheetView>
  </sheetViews>
  <sheetFormatPr defaultColWidth="9.140625" defaultRowHeight="15" customHeight="1" x14ac:dyDescent="0.25"/>
  <cols>
    <col min="1" max="1" width="6" customWidth="1"/>
    <col min="2" max="3" width="9.140625" customWidth="1"/>
    <col min="4" max="4" width="22.85546875" style="55" customWidth="1"/>
    <col min="5" max="5" width="31.28515625" customWidth="1"/>
    <col min="6" max="6" width="30.140625" style="55" customWidth="1"/>
    <col min="7" max="7" width="34.140625" customWidth="1"/>
    <col min="8" max="8" width="13.7109375" customWidth="1"/>
    <col min="9" max="9" width="12.28515625" style="55" customWidth="1"/>
    <col min="10" max="10" width="13.140625" customWidth="1"/>
    <col min="11" max="11" width="17.85546875" customWidth="1"/>
    <col min="12" max="12" width="18.85546875" customWidth="1"/>
    <col min="13" max="13" width="48.5703125" customWidth="1"/>
    <col min="14" max="14" width="3.7109375" customWidth="1"/>
    <col min="15" max="15" width="23" customWidth="1"/>
    <col min="16" max="107" width="2.85546875" customWidth="1"/>
  </cols>
  <sheetData>
    <row r="1" spans="2:22" ht="19.5" customHeight="1" x14ac:dyDescent="0.25">
      <c r="B1" s="1"/>
      <c r="C1" s="1"/>
      <c r="D1" s="51"/>
      <c r="E1" s="2"/>
      <c r="F1" s="51"/>
      <c r="I1" s="51"/>
      <c r="J1" s="1"/>
      <c r="L1" s="1"/>
      <c r="M1" s="1"/>
    </row>
    <row r="2" spans="2:22" ht="29.25" customHeight="1" thickBot="1" x14ac:dyDescent="0.3">
      <c r="B2" s="26" t="s">
        <v>0</v>
      </c>
      <c r="C2" s="25"/>
      <c r="D2" s="24"/>
      <c r="E2" s="24"/>
      <c r="F2" s="24"/>
      <c r="G2" s="24"/>
      <c r="H2" s="24"/>
      <c r="I2" s="24"/>
      <c r="J2" s="24"/>
      <c r="K2" s="24"/>
      <c r="L2" s="24"/>
      <c r="M2" s="23"/>
      <c r="O2" s="3" t="s">
        <v>1</v>
      </c>
    </row>
    <row r="3" spans="2:22" ht="16.5" customHeight="1" thickBot="1" x14ac:dyDescent="0.3">
      <c r="B3" s="18" t="s">
        <v>2</v>
      </c>
      <c r="C3" s="19"/>
      <c r="D3" s="18"/>
      <c r="E3" s="18"/>
      <c r="F3" s="18"/>
      <c r="G3" s="18"/>
      <c r="H3" s="61"/>
      <c r="I3" s="62"/>
      <c r="J3" s="22" t="s">
        <v>3</v>
      </c>
      <c r="K3" s="21"/>
      <c r="L3" s="20"/>
      <c r="M3" s="19"/>
    </row>
    <row r="4" spans="2:22" ht="15.75" thickBot="1" x14ac:dyDescent="0.3">
      <c r="B4" s="10" t="s">
        <v>4</v>
      </c>
      <c r="C4" s="11" t="s">
        <v>5</v>
      </c>
      <c r="D4" s="52" t="s">
        <v>6</v>
      </c>
      <c r="E4" s="13" t="s">
        <v>7</v>
      </c>
      <c r="F4" s="52" t="s">
        <v>8</v>
      </c>
      <c r="G4" s="14" t="s">
        <v>9</v>
      </c>
      <c r="H4" s="15" t="s">
        <v>10</v>
      </c>
      <c r="I4" s="57" t="s">
        <v>11</v>
      </c>
      <c r="J4" s="11" t="s">
        <v>12</v>
      </c>
      <c r="K4" s="16" t="s">
        <v>13</v>
      </c>
      <c r="L4" s="12" t="s">
        <v>14</v>
      </c>
      <c r="M4" s="17" t="s">
        <v>15</v>
      </c>
    </row>
    <row r="5" spans="2:22" ht="42" customHeight="1" x14ac:dyDescent="0.25">
      <c r="B5" s="32">
        <v>1</v>
      </c>
      <c r="C5" s="21" t="s">
        <v>16</v>
      </c>
      <c r="D5" s="21" t="s">
        <v>17</v>
      </c>
      <c r="E5" s="33" t="s">
        <v>18</v>
      </c>
      <c r="F5" s="21" t="s">
        <v>19</v>
      </c>
      <c r="G5" s="34" t="s">
        <v>20</v>
      </c>
      <c r="H5" s="35"/>
      <c r="I5" s="36">
        <v>6</v>
      </c>
      <c r="J5" s="29">
        <v>1</v>
      </c>
      <c r="K5" s="21" t="s">
        <v>21</v>
      </c>
      <c r="L5" s="21" t="s">
        <v>22</v>
      </c>
      <c r="M5" s="22" t="s">
        <v>23</v>
      </c>
    </row>
    <row r="6" spans="2:22" ht="39.75" customHeight="1" x14ac:dyDescent="0.25">
      <c r="B6" s="37">
        <v>2</v>
      </c>
      <c r="C6" s="23" t="s">
        <v>16</v>
      </c>
      <c r="D6" s="23" t="s">
        <v>17</v>
      </c>
      <c r="E6" s="38" t="s">
        <v>24</v>
      </c>
      <c r="F6" s="23" t="s">
        <v>25</v>
      </c>
      <c r="G6" s="39" t="s">
        <v>26</v>
      </c>
      <c r="H6" s="38" t="s">
        <v>27</v>
      </c>
      <c r="I6" s="40">
        <v>8.5</v>
      </c>
      <c r="J6" s="30">
        <v>2</v>
      </c>
      <c r="K6" s="23">
        <f>B7</f>
        <v>3</v>
      </c>
      <c r="L6" s="23" t="s">
        <v>28</v>
      </c>
      <c r="M6" s="24" t="s">
        <v>29</v>
      </c>
    </row>
    <row r="7" spans="2:22" ht="43.5" customHeight="1" x14ac:dyDescent="0.25">
      <c r="B7" s="37">
        <v>3</v>
      </c>
      <c r="C7" s="23" t="s">
        <v>30</v>
      </c>
      <c r="D7" s="23" t="s">
        <v>31</v>
      </c>
      <c r="E7" s="38" t="s">
        <v>32</v>
      </c>
      <c r="F7" s="23" t="s">
        <v>25</v>
      </c>
      <c r="G7" s="39" t="s">
        <v>33</v>
      </c>
      <c r="H7" s="38" t="s">
        <v>34</v>
      </c>
      <c r="I7" s="40">
        <v>4</v>
      </c>
      <c r="J7" s="30">
        <v>3</v>
      </c>
      <c r="K7" s="23">
        <f>B11</f>
        <v>7</v>
      </c>
      <c r="L7" s="23" t="s">
        <v>28</v>
      </c>
      <c r="M7" s="24" t="s">
        <v>35</v>
      </c>
      <c r="V7" s="1"/>
    </row>
    <row r="8" spans="2:22" ht="30" customHeight="1" x14ac:dyDescent="0.25">
      <c r="B8" s="37">
        <v>4</v>
      </c>
      <c r="C8" s="23" t="s">
        <v>16</v>
      </c>
      <c r="D8" s="23" t="s">
        <v>36</v>
      </c>
      <c r="E8" s="38" t="s">
        <v>37</v>
      </c>
      <c r="F8" s="23" t="s">
        <v>19</v>
      </c>
      <c r="G8" s="41" t="s">
        <v>38</v>
      </c>
      <c r="H8" s="42"/>
      <c r="I8" s="40">
        <v>5</v>
      </c>
      <c r="J8" s="30">
        <v>4</v>
      </c>
      <c r="K8" s="23">
        <f>B31</f>
        <v>27</v>
      </c>
      <c r="L8" s="23" t="s">
        <v>28</v>
      </c>
      <c r="M8" s="25" t="s">
        <v>39</v>
      </c>
    </row>
    <row r="9" spans="2:22" ht="15" customHeight="1" x14ac:dyDescent="0.25">
      <c r="B9" s="37">
        <v>5</v>
      </c>
      <c r="C9" s="23" t="s">
        <v>16</v>
      </c>
      <c r="D9" s="23" t="s">
        <v>40</v>
      </c>
      <c r="E9" s="38" t="s">
        <v>41</v>
      </c>
      <c r="F9" s="23" t="s">
        <v>19</v>
      </c>
      <c r="G9" s="39" t="s">
        <v>42</v>
      </c>
      <c r="H9" s="27"/>
      <c r="I9" s="40">
        <v>7</v>
      </c>
      <c r="J9" s="31"/>
      <c r="K9" s="27"/>
      <c r="L9" s="27"/>
      <c r="M9" s="28"/>
    </row>
    <row r="10" spans="2:22" ht="30" customHeight="1" x14ac:dyDescent="0.25">
      <c r="B10" s="37">
        <v>6</v>
      </c>
      <c r="C10" s="23" t="s">
        <v>16</v>
      </c>
      <c r="D10" s="23" t="s">
        <v>43</v>
      </c>
      <c r="E10" s="42" t="s">
        <v>44</v>
      </c>
      <c r="F10" s="23" t="s">
        <v>19</v>
      </c>
      <c r="G10" s="39" t="s">
        <v>45</v>
      </c>
      <c r="H10" s="27"/>
      <c r="I10" s="40">
        <v>8.5</v>
      </c>
      <c r="J10" s="31"/>
      <c r="K10" s="27"/>
      <c r="L10" s="27"/>
      <c r="M10" s="28"/>
    </row>
    <row r="11" spans="2:22" ht="15" customHeight="1" x14ac:dyDescent="0.25">
      <c r="B11" s="37">
        <v>7</v>
      </c>
      <c r="C11" s="23" t="s">
        <v>16</v>
      </c>
      <c r="D11" s="23" t="s">
        <v>40</v>
      </c>
      <c r="E11" s="38" t="s">
        <v>46</v>
      </c>
      <c r="F11" s="23" t="s">
        <v>19</v>
      </c>
      <c r="G11" s="39" t="s">
        <v>47</v>
      </c>
      <c r="H11" s="27"/>
      <c r="I11" s="40">
        <v>8</v>
      </c>
      <c r="J11" s="31"/>
      <c r="K11" s="27"/>
      <c r="L11" s="27"/>
      <c r="M11" s="28"/>
    </row>
    <row r="12" spans="2:22" ht="30" customHeight="1" x14ac:dyDescent="0.25">
      <c r="B12" s="37">
        <v>8</v>
      </c>
      <c r="C12" s="23" t="s">
        <v>16</v>
      </c>
      <c r="D12" s="23" t="s">
        <v>43</v>
      </c>
      <c r="E12" s="38" t="s">
        <v>48</v>
      </c>
      <c r="F12" s="23" t="s">
        <v>19</v>
      </c>
      <c r="G12" s="41" t="s">
        <v>49</v>
      </c>
      <c r="H12" s="42"/>
      <c r="I12" s="40">
        <v>7.8</v>
      </c>
      <c r="J12" s="31"/>
      <c r="K12" s="27"/>
      <c r="L12" s="27"/>
      <c r="M12" s="28"/>
    </row>
    <row r="13" spans="2:22" ht="15" customHeight="1" x14ac:dyDescent="0.25">
      <c r="B13" s="37">
        <v>9</v>
      </c>
      <c r="C13" s="23" t="s">
        <v>16</v>
      </c>
      <c r="D13" s="23" t="s">
        <v>50</v>
      </c>
      <c r="E13" s="38" t="s">
        <v>51</v>
      </c>
      <c r="F13" s="23" t="s">
        <v>19</v>
      </c>
      <c r="G13" s="39" t="s">
        <v>52</v>
      </c>
      <c r="H13" s="27"/>
      <c r="I13" s="40">
        <v>8.3000000000000007</v>
      </c>
      <c r="J13" s="18"/>
      <c r="K13" s="19"/>
      <c r="L13" s="19"/>
      <c r="M13" s="20"/>
    </row>
    <row r="14" spans="2:22" ht="15" customHeight="1" x14ac:dyDescent="0.25">
      <c r="B14" s="37">
        <v>10</v>
      </c>
      <c r="C14" s="23" t="s">
        <v>16</v>
      </c>
      <c r="D14" s="23" t="s">
        <v>40</v>
      </c>
      <c r="E14" s="38" t="s">
        <v>41</v>
      </c>
      <c r="F14" s="23" t="s">
        <v>53</v>
      </c>
      <c r="G14" s="39" t="s">
        <v>54</v>
      </c>
      <c r="H14" s="38" t="s">
        <v>55</v>
      </c>
      <c r="I14" s="40">
        <v>7</v>
      </c>
      <c r="J14" s="8"/>
      <c r="K14" s="4"/>
      <c r="L14" s="4"/>
      <c r="M14" s="5"/>
    </row>
    <row r="15" spans="2:22" ht="15" customHeight="1" x14ac:dyDescent="0.25">
      <c r="B15" s="37">
        <v>11</v>
      </c>
      <c r="C15" s="23" t="s">
        <v>16</v>
      </c>
      <c r="D15" s="23" t="s">
        <v>43</v>
      </c>
      <c r="E15" s="43" t="s">
        <v>56</v>
      </c>
      <c r="F15" s="23" t="s">
        <v>53</v>
      </c>
      <c r="G15" s="39" t="s">
        <v>57</v>
      </c>
      <c r="H15" s="38" t="s">
        <v>58</v>
      </c>
      <c r="I15" s="40">
        <v>8.5</v>
      </c>
      <c r="J15" s="8"/>
      <c r="K15" s="4"/>
      <c r="L15" s="4"/>
      <c r="M15" s="5"/>
    </row>
    <row r="16" spans="2:22" ht="15" customHeight="1" x14ac:dyDescent="0.25">
      <c r="B16" s="37">
        <v>12</v>
      </c>
      <c r="C16" s="23" t="s">
        <v>16</v>
      </c>
      <c r="D16" s="23" t="s">
        <v>50</v>
      </c>
      <c r="E16" s="38" t="s">
        <v>59</v>
      </c>
      <c r="F16" s="23" t="s">
        <v>53</v>
      </c>
      <c r="G16" s="39" t="s">
        <v>60</v>
      </c>
      <c r="H16" s="38" t="s">
        <v>61</v>
      </c>
      <c r="I16" s="40">
        <v>8</v>
      </c>
      <c r="J16" s="8"/>
      <c r="K16" s="4"/>
      <c r="L16" s="4"/>
      <c r="M16" s="5"/>
    </row>
    <row r="17" spans="2:13" ht="15" customHeight="1" x14ac:dyDescent="0.25">
      <c r="B17" s="37">
        <v>13</v>
      </c>
      <c r="C17" s="23" t="s">
        <v>16</v>
      </c>
      <c r="D17" s="23" t="s">
        <v>17</v>
      </c>
      <c r="E17" s="38" t="s">
        <v>24</v>
      </c>
      <c r="F17" s="23" t="s">
        <v>62</v>
      </c>
      <c r="G17" s="39" t="s">
        <v>63</v>
      </c>
      <c r="H17" s="38" t="s">
        <v>64</v>
      </c>
      <c r="I17" s="40">
        <v>8</v>
      </c>
      <c r="J17" s="8"/>
      <c r="K17" s="4"/>
      <c r="L17" s="4"/>
      <c r="M17" s="5"/>
    </row>
    <row r="18" spans="2:13" ht="15" customHeight="1" x14ac:dyDescent="0.25">
      <c r="B18" s="37">
        <v>14</v>
      </c>
      <c r="C18" s="23" t="s">
        <v>16</v>
      </c>
      <c r="D18" s="23" t="s">
        <v>17</v>
      </c>
      <c r="E18" s="38" t="s">
        <v>65</v>
      </c>
      <c r="F18" s="23" t="s">
        <v>66</v>
      </c>
      <c r="G18" s="39" t="s">
        <v>67</v>
      </c>
      <c r="H18" s="38" t="s">
        <v>68</v>
      </c>
      <c r="I18" s="40">
        <v>8</v>
      </c>
      <c r="J18" s="8"/>
      <c r="K18" s="4"/>
      <c r="L18" s="4"/>
      <c r="M18" s="5"/>
    </row>
    <row r="19" spans="2:13" ht="15" customHeight="1" x14ac:dyDescent="0.25">
      <c r="B19" s="37">
        <v>15</v>
      </c>
      <c r="C19" s="23" t="s">
        <v>16</v>
      </c>
      <c r="D19" s="23" t="s">
        <v>36</v>
      </c>
      <c r="E19" s="38" t="s">
        <v>37</v>
      </c>
      <c r="F19" s="23" t="s">
        <v>66</v>
      </c>
      <c r="G19" s="39" t="s">
        <v>69</v>
      </c>
      <c r="H19" s="38" t="s">
        <v>70</v>
      </c>
      <c r="I19" s="40">
        <v>6.5</v>
      </c>
      <c r="J19" s="8"/>
      <c r="K19" s="4"/>
      <c r="L19" s="4"/>
      <c r="M19" s="5"/>
    </row>
    <row r="20" spans="2:13" ht="15" customHeight="1" x14ac:dyDescent="0.25">
      <c r="B20" s="37">
        <v>16</v>
      </c>
      <c r="C20" s="23" t="s">
        <v>16</v>
      </c>
      <c r="D20" s="23" t="s">
        <v>31</v>
      </c>
      <c r="E20" s="38" t="s">
        <v>71</v>
      </c>
      <c r="F20" s="23" t="s">
        <v>25</v>
      </c>
      <c r="G20" s="39" t="s">
        <v>72</v>
      </c>
      <c r="H20" s="38" t="s">
        <v>73</v>
      </c>
      <c r="I20" s="40">
        <v>7.6</v>
      </c>
      <c r="J20" s="8"/>
      <c r="K20" s="4"/>
      <c r="L20" s="4"/>
      <c r="M20" s="5"/>
    </row>
    <row r="21" spans="2:13" x14ac:dyDescent="0.25">
      <c r="B21" s="37">
        <v>17</v>
      </c>
      <c r="C21" s="23" t="s">
        <v>16</v>
      </c>
      <c r="D21" s="23" t="s">
        <v>17</v>
      </c>
      <c r="E21" s="38" t="s">
        <v>74</v>
      </c>
      <c r="F21" s="23" t="s">
        <v>75</v>
      </c>
      <c r="G21" s="39" t="s">
        <v>76</v>
      </c>
      <c r="H21" s="38" t="s">
        <v>77</v>
      </c>
      <c r="I21" s="40">
        <v>4</v>
      </c>
      <c r="J21" s="8"/>
      <c r="K21" s="4"/>
      <c r="L21" s="4"/>
      <c r="M21" s="5"/>
    </row>
    <row r="22" spans="2:13" ht="15" customHeight="1" x14ac:dyDescent="0.25">
      <c r="B22" s="37">
        <v>18</v>
      </c>
      <c r="C22" s="23" t="s">
        <v>30</v>
      </c>
      <c r="D22" s="23" t="s">
        <v>78</v>
      </c>
      <c r="E22" s="38" t="s">
        <v>78</v>
      </c>
      <c r="F22" s="23" t="s">
        <v>19</v>
      </c>
      <c r="G22" s="39" t="s">
        <v>79</v>
      </c>
      <c r="H22" s="27"/>
      <c r="I22" s="40">
        <v>7</v>
      </c>
      <c r="J22" s="8"/>
      <c r="K22" s="4"/>
      <c r="L22" s="4"/>
      <c r="M22" s="5"/>
    </row>
    <row r="23" spans="2:13" ht="30" customHeight="1" x14ac:dyDescent="0.25">
      <c r="B23" s="37">
        <v>19</v>
      </c>
      <c r="C23" s="23" t="s">
        <v>16</v>
      </c>
      <c r="D23" s="23" t="s">
        <v>80</v>
      </c>
      <c r="E23" s="38" t="s">
        <v>81</v>
      </c>
      <c r="F23" s="23" t="s">
        <v>19</v>
      </c>
      <c r="G23" s="41" t="s">
        <v>82</v>
      </c>
      <c r="H23" s="42"/>
      <c r="I23" s="40">
        <v>8.6</v>
      </c>
      <c r="J23" s="8"/>
      <c r="K23" s="4"/>
      <c r="L23" s="4"/>
      <c r="M23" s="5"/>
    </row>
    <row r="24" spans="2:13" ht="15" customHeight="1" x14ac:dyDescent="0.25">
      <c r="B24" s="37">
        <v>20</v>
      </c>
      <c r="C24" s="23" t="s">
        <v>16</v>
      </c>
      <c r="D24" s="23" t="s">
        <v>83</v>
      </c>
      <c r="E24" s="38" t="s">
        <v>84</v>
      </c>
      <c r="F24" s="23" t="s">
        <v>19</v>
      </c>
      <c r="G24" s="39" t="s">
        <v>85</v>
      </c>
      <c r="H24" s="27"/>
      <c r="I24" s="40">
        <v>3</v>
      </c>
      <c r="J24" s="8"/>
      <c r="K24" s="4"/>
      <c r="L24" s="4"/>
      <c r="M24" s="5"/>
    </row>
    <row r="25" spans="2:13" ht="33" customHeight="1" x14ac:dyDescent="0.25">
      <c r="B25" s="37">
        <v>21</v>
      </c>
      <c r="C25" s="23" t="s">
        <v>16</v>
      </c>
      <c r="D25" s="23" t="s">
        <v>36</v>
      </c>
      <c r="E25" s="38" t="s">
        <v>86</v>
      </c>
      <c r="F25" s="23" t="s">
        <v>19</v>
      </c>
      <c r="G25" s="41" t="s">
        <v>87</v>
      </c>
      <c r="H25" s="42"/>
      <c r="I25" s="40">
        <v>6.5</v>
      </c>
      <c r="J25" s="8"/>
      <c r="K25" s="4"/>
      <c r="L25" s="4"/>
      <c r="M25" s="5"/>
    </row>
    <row r="26" spans="2:13" ht="15" customHeight="1" x14ac:dyDescent="0.25">
      <c r="B26" s="37">
        <v>22</v>
      </c>
      <c r="C26" s="23" t="s">
        <v>16</v>
      </c>
      <c r="D26" s="23" t="s">
        <v>36</v>
      </c>
      <c r="E26" s="38" t="s">
        <v>88</v>
      </c>
      <c r="F26" s="23" t="s">
        <v>19</v>
      </c>
      <c r="G26" s="39" t="s">
        <v>89</v>
      </c>
      <c r="H26" s="27"/>
      <c r="I26" s="40">
        <v>7.5</v>
      </c>
      <c r="J26" s="8"/>
      <c r="K26" s="4"/>
      <c r="L26" s="4"/>
      <c r="M26" s="5"/>
    </row>
    <row r="27" spans="2:13" ht="15" customHeight="1" x14ac:dyDescent="0.25">
      <c r="B27" s="37">
        <v>23</v>
      </c>
      <c r="C27" s="23" t="s">
        <v>16</v>
      </c>
      <c r="D27" s="23" t="s">
        <v>17</v>
      </c>
      <c r="E27" s="38" t="s">
        <v>90</v>
      </c>
      <c r="F27" s="23" t="s">
        <v>62</v>
      </c>
      <c r="G27" s="39" t="s">
        <v>91</v>
      </c>
      <c r="H27" s="38" t="s">
        <v>92</v>
      </c>
      <c r="I27" s="40">
        <v>7.3</v>
      </c>
      <c r="J27" s="8"/>
      <c r="K27" s="4"/>
      <c r="L27" s="4"/>
      <c r="M27" s="5"/>
    </row>
    <row r="28" spans="2:13" ht="30" customHeight="1" x14ac:dyDescent="0.25">
      <c r="B28" s="37">
        <v>24</v>
      </c>
      <c r="C28" s="23" t="s">
        <v>16</v>
      </c>
      <c r="D28" s="23" t="s">
        <v>93</v>
      </c>
      <c r="E28" s="38" t="s">
        <v>94</v>
      </c>
      <c r="F28" s="23" t="s">
        <v>19</v>
      </c>
      <c r="G28" s="41" t="s">
        <v>95</v>
      </c>
      <c r="H28" s="42"/>
      <c r="I28" s="40">
        <v>6.7</v>
      </c>
      <c r="J28" s="8"/>
      <c r="K28" s="4"/>
      <c r="L28" s="4"/>
      <c r="M28" s="5"/>
    </row>
    <row r="29" spans="2:13" ht="15" customHeight="1" x14ac:dyDescent="0.25">
      <c r="B29" s="37">
        <v>25</v>
      </c>
      <c r="C29" s="23" t="s">
        <v>16</v>
      </c>
      <c r="D29" s="23" t="s">
        <v>80</v>
      </c>
      <c r="E29" s="38" t="s">
        <v>96</v>
      </c>
      <c r="F29" s="23" t="s">
        <v>19</v>
      </c>
      <c r="G29" s="39" t="s">
        <v>97</v>
      </c>
      <c r="H29" s="27"/>
      <c r="I29" s="40">
        <v>6.3</v>
      </c>
      <c r="J29" s="8"/>
      <c r="K29" s="4"/>
      <c r="L29" s="4"/>
      <c r="M29" s="5"/>
    </row>
    <row r="30" spans="2:13" ht="15" customHeight="1" x14ac:dyDescent="0.25">
      <c r="B30" s="37">
        <v>26</v>
      </c>
      <c r="C30" s="23" t="s">
        <v>30</v>
      </c>
      <c r="D30" s="23" t="s">
        <v>50</v>
      </c>
      <c r="E30" s="38" t="s">
        <v>98</v>
      </c>
      <c r="F30" s="23" t="s">
        <v>19</v>
      </c>
      <c r="G30" s="27"/>
      <c r="H30" s="27"/>
      <c r="I30" s="40">
        <v>3</v>
      </c>
      <c r="J30" s="8"/>
      <c r="K30" s="4"/>
      <c r="L30" s="4"/>
      <c r="M30" s="5"/>
    </row>
    <row r="31" spans="2:13" ht="30" customHeight="1" x14ac:dyDescent="0.25">
      <c r="B31" s="37">
        <v>27</v>
      </c>
      <c r="C31" s="23" t="s">
        <v>30</v>
      </c>
      <c r="D31" s="23" t="s">
        <v>50</v>
      </c>
      <c r="E31" s="38" t="s">
        <v>99</v>
      </c>
      <c r="F31" s="23" t="s">
        <v>19</v>
      </c>
      <c r="G31" s="44" t="s">
        <v>100</v>
      </c>
      <c r="H31" s="42"/>
      <c r="I31" s="40">
        <v>7.6</v>
      </c>
      <c r="J31" s="8"/>
      <c r="K31" s="4"/>
      <c r="L31" s="4"/>
      <c r="M31" s="5"/>
    </row>
    <row r="32" spans="2:13" ht="15" customHeight="1" x14ac:dyDescent="0.25">
      <c r="B32" s="37">
        <v>28</v>
      </c>
      <c r="C32" s="23" t="s">
        <v>16</v>
      </c>
      <c r="D32" s="23" t="s">
        <v>50</v>
      </c>
      <c r="E32" s="38" t="s">
        <v>51</v>
      </c>
      <c r="F32" s="23" t="s">
        <v>19</v>
      </c>
      <c r="G32" s="39" t="s">
        <v>101</v>
      </c>
      <c r="H32" s="27"/>
      <c r="I32" s="40">
        <v>7.1</v>
      </c>
      <c r="J32" s="8"/>
      <c r="K32" s="4"/>
      <c r="L32" s="4"/>
      <c r="M32" s="5"/>
    </row>
    <row r="33" spans="2:13" ht="30" customHeight="1" x14ac:dyDescent="0.25">
      <c r="B33" s="37">
        <v>29</v>
      </c>
      <c r="C33" s="23" t="s">
        <v>30</v>
      </c>
      <c r="D33" s="23" t="s">
        <v>102</v>
      </c>
      <c r="E33" s="38" t="s">
        <v>37</v>
      </c>
      <c r="F33" s="23" t="s">
        <v>103</v>
      </c>
      <c r="G33" s="41" t="s">
        <v>104</v>
      </c>
      <c r="H33" s="42" t="s">
        <v>105</v>
      </c>
      <c r="I33" s="40">
        <v>5.2</v>
      </c>
      <c r="J33" s="8"/>
      <c r="K33" s="4"/>
      <c r="L33" s="4"/>
      <c r="M33" s="5"/>
    </row>
    <row r="34" spans="2:13" ht="15" customHeight="1" x14ac:dyDescent="0.25">
      <c r="B34" s="37">
        <v>30</v>
      </c>
      <c r="C34" s="23" t="s">
        <v>16</v>
      </c>
      <c r="D34" s="23" t="s">
        <v>106</v>
      </c>
      <c r="E34" s="38" t="s">
        <v>41</v>
      </c>
      <c r="F34" s="23" t="s">
        <v>107</v>
      </c>
      <c r="G34" s="39" t="s">
        <v>108</v>
      </c>
      <c r="H34" s="38" t="s">
        <v>109</v>
      </c>
      <c r="I34" s="40">
        <v>5.0999999999999996</v>
      </c>
      <c r="J34" s="8"/>
      <c r="K34" s="4"/>
      <c r="L34" s="4"/>
      <c r="M34" s="5"/>
    </row>
    <row r="35" spans="2:13" ht="15" customHeight="1" x14ac:dyDescent="0.25">
      <c r="B35" s="37">
        <v>31</v>
      </c>
      <c r="C35" s="23" t="s">
        <v>16</v>
      </c>
      <c r="D35" s="23" t="s">
        <v>110</v>
      </c>
      <c r="E35" s="38" t="s">
        <v>111</v>
      </c>
      <c r="F35" s="23" t="s">
        <v>66</v>
      </c>
      <c r="G35" s="39" t="s">
        <v>112</v>
      </c>
      <c r="H35" s="38" t="s">
        <v>113</v>
      </c>
      <c r="I35" s="40">
        <v>8.4</v>
      </c>
      <c r="J35" s="8"/>
      <c r="K35" s="4"/>
      <c r="L35" s="4"/>
      <c r="M35" s="5"/>
    </row>
    <row r="36" spans="2:13" ht="15" customHeight="1" x14ac:dyDescent="0.25">
      <c r="B36" s="37">
        <v>32</v>
      </c>
      <c r="C36" s="23" t="s">
        <v>16</v>
      </c>
      <c r="D36" s="23" t="s">
        <v>110</v>
      </c>
      <c r="E36" s="38" t="s">
        <v>114</v>
      </c>
      <c r="F36" s="23" t="s">
        <v>107</v>
      </c>
      <c r="G36" s="39" t="s">
        <v>115</v>
      </c>
      <c r="H36" s="38" t="s">
        <v>116</v>
      </c>
      <c r="I36" s="40">
        <v>7.6</v>
      </c>
      <c r="J36" s="8"/>
      <c r="K36" s="4"/>
      <c r="L36" s="4"/>
      <c r="M36" s="5"/>
    </row>
    <row r="37" spans="2:13" ht="30" customHeight="1" x14ac:dyDescent="0.25">
      <c r="B37" s="37">
        <v>33</v>
      </c>
      <c r="C37" s="23" t="s">
        <v>16</v>
      </c>
      <c r="D37" s="23" t="s">
        <v>17</v>
      </c>
      <c r="E37" s="38" t="s">
        <v>117</v>
      </c>
      <c r="F37" s="23" t="s">
        <v>53</v>
      </c>
      <c r="G37" s="41" t="s">
        <v>118</v>
      </c>
      <c r="H37" s="38" t="s">
        <v>119</v>
      </c>
      <c r="I37" s="40">
        <v>9.5</v>
      </c>
      <c r="J37" s="8"/>
      <c r="K37" s="4"/>
      <c r="L37" s="4"/>
      <c r="M37" s="5"/>
    </row>
    <row r="38" spans="2:13" ht="15" customHeight="1" x14ac:dyDescent="0.25">
      <c r="B38" s="37">
        <v>34</v>
      </c>
      <c r="C38" s="23" t="s">
        <v>16</v>
      </c>
      <c r="D38" s="23" t="s">
        <v>43</v>
      </c>
      <c r="E38" s="38" t="s">
        <v>120</v>
      </c>
      <c r="F38" s="23" t="s">
        <v>53</v>
      </c>
      <c r="G38" s="39" t="s">
        <v>121</v>
      </c>
      <c r="H38" s="38" t="s">
        <v>122</v>
      </c>
      <c r="I38" s="40" t="str">
        <f>"8,8"</f>
        <v>8,8</v>
      </c>
      <c r="J38" s="8"/>
      <c r="K38" s="4"/>
      <c r="L38" s="4"/>
      <c r="M38" s="5"/>
    </row>
    <row r="39" spans="2:13" ht="15" customHeight="1" x14ac:dyDescent="0.25">
      <c r="B39" s="37">
        <v>35</v>
      </c>
      <c r="C39" s="23" t="s">
        <v>16</v>
      </c>
      <c r="D39" s="23" t="s">
        <v>17</v>
      </c>
      <c r="E39" s="38" t="s">
        <v>123</v>
      </c>
      <c r="F39" s="23" t="s">
        <v>53</v>
      </c>
      <c r="G39" s="39" t="s">
        <v>124</v>
      </c>
      <c r="H39" s="38" t="s">
        <v>125</v>
      </c>
      <c r="I39" s="40">
        <v>9</v>
      </c>
      <c r="J39" s="8"/>
      <c r="K39" s="4"/>
      <c r="L39" s="4"/>
      <c r="M39" s="5"/>
    </row>
    <row r="40" spans="2:13" ht="15" customHeight="1" x14ac:dyDescent="0.25">
      <c r="B40" s="37">
        <v>36</v>
      </c>
      <c r="C40" s="23" t="s">
        <v>16</v>
      </c>
      <c r="D40" s="23" t="s">
        <v>80</v>
      </c>
      <c r="E40" s="38" t="s">
        <v>126</v>
      </c>
      <c r="F40" s="23" t="s">
        <v>19</v>
      </c>
      <c r="G40" s="27"/>
      <c r="H40" s="27"/>
      <c r="I40" s="40" t="s">
        <v>16</v>
      </c>
      <c r="J40" s="8"/>
      <c r="K40" s="4"/>
      <c r="L40" s="4"/>
      <c r="M40" s="5"/>
    </row>
    <row r="41" spans="2:13" ht="15" customHeight="1" x14ac:dyDescent="0.25">
      <c r="B41" s="37">
        <v>37</v>
      </c>
      <c r="C41" s="23" t="s">
        <v>16</v>
      </c>
      <c r="D41" s="23" t="s">
        <v>43</v>
      </c>
      <c r="E41" s="38" t="s">
        <v>127</v>
      </c>
      <c r="F41" s="23" t="s">
        <v>19</v>
      </c>
      <c r="G41" s="27"/>
      <c r="H41" s="27"/>
      <c r="I41" s="40">
        <v>5.5</v>
      </c>
      <c r="J41" s="8"/>
      <c r="K41" s="4"/>
      <c r="L41" s="4"/>
      <c r="M41" s="5"/>
    </row>
    <row r="42" spans="2:13" ht="15" customHeight="1" x14ac:dyDescent="0.25">
      <c r="B42" s="37">
        <v>38</v>
      </c>
      <c r="C42" s="23" t="s">
        <v>16</v>
      </c>
      <c r="D42" s="23" t="s">
        <v>106</v>
      </c>
      <c r="E42" s="38" t="s">
        <v>128</v>
      </c>
      <c r="F42" s="23" t="s">
        <v>19</v>
      </c>
      <c r="G42" s="39" t="s">
        <v>129</v>
      </c>
      <c r="H42" s="27"/>
      <c r="I42" s="40">
        <v>8.1999999999999904</v>
      </c>
      <c r="J42" s="8"/>
      <c r="K42" s="4"/>
      <c r="L42" s="4"/>
      <c r="M42" s="5"/>
    </row>
    <row r="43" spans="2:13" ht="15" customHeight="1" x14ac:dyDescent="0.25">
      <c r="B43" s="37">
        <v>39</v>
      </c>
      <c r="C43" s="23" t="s">
        <v>16</v>
      </c>
      <c r="D43" s="23" t="s">
        <v>106</v>
      </c>
      <c r="E43" s="38" t="s">
        <v>130</v>
      </c>
      <c r="F43" s="23" t="s">
        <v>19</v>
      </c>
      <c r="G43" s="39" t="s">
        <v>131</v>
      </c>
      <c r="H43" s="27"/>
      <c r="I43" s="40">
        <v>6.5</v>
      </c>
      <c r="J43" s="8"/>
      <c r="K43" s="4"/>
      <c r="L43" s="4"/>
      <c r="M43" s="5"/>
    </row>
    <row r="44" spans="2:13" ht="15" customHeight="1" x14ac:dyDescent="0.25">
      <c r="B44" s="37">
        <v>40</v>
      </c>
      <c r="C44" s="23" t="s">
        <v>30</v>
      </c>
      <c r="D44" s="23" t="s">
        <v>17</v>
      </c>
      <c r="E44" s="38" t="s">
        <v>132</v>
      </c>
      <c r="F44" s="23" t="s">
        <v>133</v>
      </c>
      <c r="G44" s="39" t="s">
        <v>134</v>
      </c>
      <c r="H44" s="38" t="s">
        <v>135</v>
      </c>
      <c r="I44" s="40">
        <v>6</v>
      </c>
      <c r="J44" s="8"/>
      <c r="K44" s="4"/>
      <c r="L44" s="4"/>
      <c r="M44" s="5"/>
    </row>
    <row r="45" spans="2:13" ht="15" customHeight="1" x14ac:dyDescent="0.25">
      <c r="B45" s="37">
        <v>41</v>
      </c>
      <c r="C45" s="23" t="s">
        <v>30</v>
      </c>
      <c r="D45" s="23" t="s">
        <v>136</v>
      </c>
      <c r="E45" s="38" t="s">
        <v>137</v>
      </c>
      <c r="F45" s="23" t="s">
        <v>138</v>
      </c>
      <c r="G45" s="39" t="s">
        <v>139</v>
      </c>
      <c r="H45" s="38" t="s">
        <v>140</v>
      </c>
      <c r="I45" s="40">
        <v>8</v>
      </c>
      <c r="J45" s="8"/>
      <c r="K45" s="4"/>
      <c r="L45" s="4"/>
      <c r="M45" s="5"/>
    </row>
    <row r="46" spans="2:13" ht="15" customHeight="1" x14ac:dyDescent="0.25">
      <c r="B46" s="37">
        <v>42</v>
      </c>
      <c r="C46" s="23" t="s">
        <v>16</v>
      </c>
      <c r="D46" s="23" t="s">
        <v>50</v>
      </c>
      <c r="E46" s="45" t="s">
        <v>141</v>
      </c>
      <c r="F46" s="23" t="s">
        <v>53</v>
      </c>
      <c r="G46" s="27"/>
      <c r="H46" s="38" t="s">
        <v>142</v>
      </c>
      <c r="I46" s="40">
        <v>9.1</v>
      </c>
      <c r="J46" s="8"/>
      <c r="K46" s="4"/>
      <c r="L46" s="4"/>
      <c r="M46" s="5"/>
    </row>
    <row r="47" spans="2:13" ht="15" customHeight="1" x14ac:dyDescent="0.25">
      <c r="B47" s="37">
        <v>43</v>
      </c>
      <c r="C47" s="23" t="s">
        <v>16</v>
      </c>
      <c r="D47" s="23" t="s">
        <v>43</v>
      </c>
      <c r="E47" s="45" t="s">
        <v>143</v>
      </c>
      <c r="F47" s="23" t="s">
        <v>53</v>
      </c>
      <c r="G47" s="27"/>
      <c r="H47" s="38" t="s">
        <v>144</v>
      </c>
      <c r="I47" s="40">
        <v>9</v>
      </c>
      <c r="J47" s="8"/>
      <c r="K47" s="4"/>
      <c r="L47" s="4"/>
      <c r="M47" s="5"/>
    </row>
    <row r="48" spans="2:13" ht="15" customHeight="1" x14ac:dyDescent="0.25">
      <c r="B48" s="37">
        <v>44</v>
      </c>
      <c r="C48" s="23" t="s">
        <v>30</v>
      </c>
      <c r="D48" s="23" t="s">
        <v>31</v>
      </c>
      <c r="E48" s="45" t="s">
        <v>145</v>
      </c>
      <c r="F48" s="23" t="s">
        <v>53</v>
      </c>
      <c r="G48" s="27"/>
      <c r="H48" s="38" t="s">
        <v>146</v>
      </c>
      <c r="I48" s="40">
        <v>9</v>
      </c>
      <c r="J48" s="8"/>
      <c r="K48" s="4"/>
      <c r="L48" s="4"/>
      <c r="M48" s="5"/>
    </row>
    <row r="49" spans="2:13" ht="15" customHeight="1" x14ac:dyDescent="0.25">
      <c r="B49" s="37">
        <v>45</v>
      </c>
      <c r="C49" s="23" t="s">
        <v>16</v>
      </c>
      <c r="D49" s="23" t="s">
        <v>31</v>
      </c>
      <c r="E49" s="38" t="s">
        <v>147</v>
      </c>
      <c r="F49" s="23" t="s">
        <v>138</v>
      </c>
      <c r="G49" s="27"/>
      <c r="H49" s="38" t="s">
        <v>125</v>
      </c>
      <c r="I49" s="40" t="s">
        <v>16</v>
      </c>
      <c r="J49" s="8"/>
      <c r="K49" s="4"/>
      <c r="L49" s="4"/>
      <c r="M49" s="5"/>
    </row>
    <row r="50" spans="2:13" ht="15" customHeight="1" x14ac:dyDescent="0.25">
      <c r="B50" s="37">
        <v>46</v>
      </c>
      <c r="C50" s="23" t="s">
        <v>16</v>
      </c>
      <c r="D50" s="23" t="s">
        <v>43</v>
      </c>
      <c r="E50" s="38" t="s">
        <v>147</v>
      </c>
      <c r="F50" s="23" t="s">
        <v>138</v>
      </c>
      <c r="G50" s="27"/>
      <c r="H50" s="38" t="s">
        <v>125</v>
      </c>
      <c r="I50" s="40">
        <v>8.5</v>
      </c>
      <c r="J50" s="8"/>
      <c r="K50" s="4"/>
      <c r="L50" s="4"/>
      <c r="M50" s="5"/>
    </row>
    <row r="51" spans="2:13" ht="15" customHeight="1" x14ac:dyDescent="0.25">
      <c r="B51" s="37">
        <v>47</v>
      </c>
      <c r="C51" s="23" t="s">
        <v>16</v>
      </c>
      <c r="D51" s="23" t="s">
        <v>106</v>
      </c>
      <c r="E51" s="38" t="s">
        <v>148</v>
      </c>
      <c r="F51" s="23" t="s">
        <v>138</v>
      </c>
      <c r="G51" s="27"/>
      <c r="H51" s="38" t="s">
        <v>125</v>
      </c>
      <c r="I51" s="40">
        <v>6.6</v>
      </c>
      <c r="J51" s="8"/>
      <c r="K51" s="4"/>
      <c r="L51" s="4"/>
      <c r="M51" s="5"/>
    </row>
    <row r="52" spans="2:13" ht="15" customHeight="1" x14ac:dyDescent="0.25">
      <c r="B52" s="37">
        <v>48</v>
      </c>
      <c r="C52" s="23" t="s">
        <v>16</v>
      </c>
      <c r="D52" s="23" t="s">
        <v>43</v>
      </c>
      <c r="E52" s="38" t="s">
        <v>149</v>
      </c>
      <c r="F52" s="23" t="s">
        <v>53</v>
      </c>
      <c r="G52" s="39" t="s">
        <v>150</v>
      </c>
      <c r="H52" s="38" t="s">
        <v>125</v>
      </c>
      <c r="I52" s="40">
        <v>8.5</v>
      </c>
      <c r="J52" s="8"/>
      <c r="K52" s="4"/>
      <c r="L52" s="4"/>
      <c r="M52" s="5"/>
    </row>
    <row r="53" spans="2:13" ht="15" customHeight="1" x14ac:dyDescent="0.25">
      <c r="B53" s="37">
        <v>49</v>
      </c>
      <c r="C53" s="23" t="s">
        <v>16</v>
      </c>
      <c r="D53" s="23" t="s">
        <v>50</v>
      </c>
      <c r="E53" s="38" t="s">
        <v>151</v>
      </c>
      <c r="F53" s="23" t="s">
        <v>53</v>
      </c>
      <c r="G53" s="27"/>
      <c r="H53" s="38" t="s">
        <v>125</v>
      </c>
      <c r="I53" s="40">
        <v>8</v>
      </c>
      <c r="J53" s="8"/>
      <c r="K53" s="4"/>
      <c r="L53" s="4"/>
      <c r="M53" s="5"/>
    </row>
    <row r="54" spans="2:13" ht="32.25" customHeight="1" x14ac:dyDescent="0.25">
      <c r="B54" s="37">
        <v>50</v>
      </c>
      <c r="C54" s="23" t="s">
        <v>16</v>
      </c>
      <c r="D54" s="23" t="s">
        <v>43</v>
      </c>
      <c r="E54" s="38" t="s">
        <v>152</v>
      </c>
      <c r="F54" s="23" t="s">
        <v>53</v>
      </c>
      <c r="G54" s="41" t="s">
        <v>153</v>
      </c>
      <c r="H54" s="42" t="s">
        <v>125</v>
      </c>
      <c r="I54" s="40">
        <v>9.1999999999999904</v>
      </c>
      <c r="J54" s="8"/>
      <c r="K54" s="4"/>
      <c r="L54" s="4"/>
      <c r="M54" s="5"/>
    </row>
    <row r="55" spans="2:13" ht="15" customHeight="1" x14ac:dyDescent="0.25">
      <c r="B55" s="37">
        <v>51</v>
      </c>
      <c r="C55" s="23" t="s">
        <v>16</v>
      </c>
      <c r="D55" s="23" t="s">
        <v>80</v>
      </c>
      <c r="E55" s="38" t="s">
        <v>154</v>
      </c>
      <c r="F55" s="23" t="s">
        <v>53</v>
      </c>
      <c r="G55" s="39" t="s">
        <v>155</v>
      </c>
      <c r="H55" s="42" t="s">
        <v>125</v>
      </c>
      <c r="I55" s="40">
        <v>8.1999999999999904</v>
      </c>
      <c r="J55" s="8"/>
      <c r="K55" s="4"/>
      <c r="L55" s="4"/>
      <c r="M55" s="5"/>
    </row>
    <row r="56" spans="2:13" ht="15" customHeight="1" x14ac:dyDescent="0.25">
      <c r="B56" s="37">
        <v>52</v>
      </c>
      <c r="C56" s="23" t="s">
        <v>16</v>
      </c>
      <c r="D56" s="23" t="s">
        <v>31</v>
      </c>
      <c r="E56" s="38" t="s">
        <v>156</v>
      </c>
      <c r="F56" s="23" t="s">
        <v>53</v>
      </c>
      <c r="G56" s="27"/>
      <c r="H56" s="42" t="s">
        <v>125</v>
      </c>
      <c r="I56" s="40">
        <v>8.5</v>
      </c>
      <c r="J56" s="8"/>
      <c r="K56" s="4"/>
      <c r="L56" s="4"/>
      <c r="M56" s="5"/>
    </row>
    <row r="57" spans="2:13" ht="15" customHeight="1" x14ac:dyDescent="0.25">
      <c r="B57" s="37">
        <v>53</v>
      </c>
      <c r="C57" s="23" t="s">
        <v>16</v>
      </c>
      <c r="D57" s="23" t="s">
        <v>17</v>
      </c>
      <c r="E57" s="38" t="s">
        <v>157</v>
      </c>
      <c r="F57" s="23" t="s">
        <v>53</v>
      </c>
      <c r="G57" s="27"/>
      <c r="H57" s="42" t="s">
        <v>125</v>
      </c>
      <c r="I57" s="40">
        <v>8.6999999999999904</v>
      </c>
      <c r="J57" s="8"/>
      <c r="K57" s="4"/>
      <c r="L57" s="4"/>
      <c r="M57" s="5"/>
    </row>
    <row r="58" spans="2:13" ht="15" customHeight="1" x14ac:dyDescent="0.25">
      <c r="B58" s="37">
        <v>54</v>
      </c>
      <c r="C58" s="23" t="s">
        <v>16</v>
      </c>
      <c r="D58" s="23" t="s">
        <v>158</v>
      </c>
      <c r="E58" s="38" t="s">
        <v>94</v>
      </c>
      <c r="F58" s="23" t="s">
        <v>159</v>
      </c>
      <c r="G58" s="27"/>
      <c r="H58" s="38" t="s">
        <v>160</v>
      </c>
      <c r="I58" s="40">
        <v>7.6</v>
      </c>
      <c r="J58" s="8"/>
      <c r="K58" s="4"/>
      <c r="L58" s="4"/>
      <c r="M58" s="5"/>
    </row>
    <row r="59" spans="2:13" ht="15" customHeight="1" x14ac:dyDescent="0.25">
      <c r="B59" s="37">
        <v>55</v>
      </c>
      <c r="C59" s="23" t="s">
        <v>30</v>
      </c>
      <c r="D59" s="23" t="s">
        <v>17</v>
      </c>
      <c r="E59" s="38" t="s">
        <v>161</v>
      </c>
      <c r="F59" s="23" t="s">
        <v>62</v>
      </c>
      <c r="G59" s="27"/>
      <c r="H59" s="38" t="s">
        <v>162</v>
      </c>
      <c r="I59" s="58"/>
      <c r="J59" s="8"/>
      <c r="K59" s="4"/>
      <c r="L59" s="4"/>
      <c r="M59" s="5"/>
    </row>
    <row r="60" spans="2:13" ht="45" customHeight="1" x14ac:dyDescent="0.25">
      <c r="B60" s="37">
        <v>56</v>
      </c>
      <c r="C60" s="23" t="s">
        <v>16</v>
      </c>
      <c r="D60" s="23" t="s">
        <v>17</v>
      </c>
      <c r="E60" s="46" t="s">
        <v>163</v>
      </c>
      <c r="F60" s="23" t="s">
        <v>62</v>
      </c>
      <c r="G60" s="27"/>
      <c r="H60" s="38" t="s">
        <v>164</v>
      </c>
      <c r="I60" s="40">
        <v>8.6999999999999904</v>
      </c>
      <c r="J60" s="8"/>
      <c r="K60" s="4"/>
      <c r="L60" s="4"/>
      <c r="M60" s="5"/>
    </row>
    <row r="61" spans="2:13" ht="30" customHeight="1" x14ac:dyDescent="0.25">
      <c r="B61" s="37">
        <v>57</v>
      </c>
      <c r="C61" s="23" t="s">
        <v>16</v>
      </c>
      <c r="D61" s="23" t="s">
        <v>17</v>
      </c>
      <c r="E61" s="46" t="s">
        <v>165</v>
      </c>
      <c r="F61" s="23" t="s">
        <v>62</v>
      </c>
      <c r="G61" s="27"/>
      <c r="H61" s="38" t="s">
        <v>166</v>
      </c>
      <c r="I61" s="40">
        <v>9</v>
      </c>
      <c r="J61" s="8"/>
      <c r="K61" s="4"/>
      <c r="L61" s="4"/>
      <c r="M61" s="5"/>
    </row>
    <row r="62" spans="2:13" ht="30" customHeight="1" x14ac:dyDescent="0.25">
      <c r="B62" s="37">
        <v>58</v>
      </c>
      <c r="C62" s="23" t="s">
        <v>30</v>
      </c>
      <c r="D62" s="23" t="s">
        <v>17</v>
      </c>
      <c r="E62" s="46" t="s">
        <v>167</v>
      </c>
      <c r="F62" s="23" t="s">
        <v>62</v>
      </c>
      <c r="G62" s="39" t="s">
        <v>168</v>
      </c>
      <c r="H62" s="38" t="s">
        <v>169</v>
      </c>
      <c r="I62" s="40">
        <v>7.5</v>
      </c>
      <c r="J62" s="8"/>
      <c r="K62" s="4"/>
      <c r="L62" s="4"/>
      <c r="M62" s="5"/>
    </row>
    <row r="63" spans="2:13" ht="15" customHeight="1" x14ac:dyDescent="0.25">
      <c r="B63" s="37">
        <v>59</v>
      </c>
      <c r="C63" s="23" t="s">
        <v>30</v>
      </c>
      <c r="D63" s="23" t="s">
        <v>43</v>
      </c>
      <c r="E63" s="38" t="s">
        <v>170</v>
      </c>
      <c r="F63" s="23" t="s">
        <v>62</v>
      </c>
      <c r="G63" s="27"/>
      <c r="H63" s="38" t="s">
        <v>171</v>
      </c>
      <c r="I63" s="40">
        <v>9.1</v>
      </c>
      <c r="J63" s="8"/>
      <c r="K63" s="4"/>
      <c r="L63" s="4"/>
      <c r="M63" s="5"/>
    </row>
    <row r="64" spans="2:13" ht="15" customHeight="1" x14ac:dyDescent="0.25">
      <c r="B64" s="37">
        <v>60</v>
      </c>
      <c r="C64" s="23" t="s">
        <v>16</v>
      </c>
      <c r="D64" s="23" t="s">
        <v>110</v>
      </c>
      <c r="E64" s="38" t="s">
        <v>172</v>
      </c>
      <c r="F64" s="23" t="s">
        <v>25</v>
      </c>
      <c r="G64" s="27"/>
      <c r="H64" s="38" t="s">
        <v>173</v>
      </c>
      <c r="I64" s="40">
        <v>6.5</v>
      </c>
      <c r="J64" s="8"/>
      <c r="K64" s="4"/>
      <c r="L64" s="4"/>
      <c r="M64" s="5"/>
    </row>
    <row r="65" spans="2:13" ht="15" customHeight="1" x14ac:dyDescent="0.25">
      <c r="B65" s="37">
        <v>61</v>
      </c>
      <c r="C65" s="23" t="s">
        <v>30</v>
      </c>
      <c r="D65" s="23" t="s">
        <v>31</v>
      </c>
      <c r="E65" s="38" t="s">
        <v>174</v>
      </c>
      <c r="F65" s="56" t="s">
        <v>175</v>
      </c>
      <c r="G65" s="27"/>
      <c r="H65" s="38" t="s">
        <v>176</v>
      </c>
      <c r="I65" s="40">
        <v>8.8000000000000007</v>
      </c>
      <c r="J65" s="8"/>
      <c r="K65" s="4"/>
      <c r="L65" s="4"/>
      <c r="M65" s="5"/>
    </row>
    <row r="66" spans="2:13" ht="15" customHeight="1" x14ac:dyDescent="0.25">
      <c r="B66" s="37">
        <v>62</v>
      </c>
      <c r="C66" s="23" t="s">
        <v>30</v>
      </c>
      <c r="D66" s="23" t="s">
        <v>31</v>
      </c>
      <c r="E66" s="38" t="s">
        <v>177</v>
      </c>
      <c r="F66" s="56" t="s">
        <v>178</v>
      </c>
      <c r="G66" s="27"/>
      <c r="H66" s="38" t="s">
        <v>179</v>
      </c>
      <c r="I66" s="58"/>
      <c r="J66" s="8"/>
      <c r="K66" s="4"/>
      <c r="L66" s="4"/>
      <c r="M66" s="5"/>
    </row>
    <row r="67" spans="2:13" ht="15" customHeight="1" x14ac:dyDescent="0.25">
      <c r="B67" s="37">
        <v>63</v>
      </c>
      <c r="C67" s="23" t="s">
        <v>16</v>
      </c>
      <c r="D67" s="23" t="s">
        <v>106</v>
      </c>
      <c r="E67" s="38" t="s">
        <v>180</v>
      </c>
      <c r="F67" s="56" t="s">
        <v>175</v>
      </c>
      <c r="G67" s="27"/>
      <c r="H67" s="38" t="s">
        <v>181</v>
      </c>
      <c r="I67" s="40">
        <v>8.9</v>
      </c>
      <c r="J67" s="8"/>
      <c r="K67" s="4"/>
      <c r="L67" s="4"/>
      <c r="M67" s="5"/>
    </row>
    <row r="68" spans="2:13" ht="15" customHeight="1" x14ac:dyDescent="0.25">
      <c r="B68" s="37">
        <v>64</v>
      </c>
      <c r="C68" s="23" t="s">
        <v>16</v>
      </c>
      <c r="D68" s="23" t="s">
        <v>182</v>
      </c>
      <c r="E68" s="38" t="s">
        <v>183</v>
      </c>
      <c r="F68" s="56" t="s">
        <v>175</v>
      </c>
      <c r="G68" s="27"/>
      <c r="H68" s="38" t="s">
        <v>184</v>
      </c>
      <c r="I68" s="40">
        <v>8.6</v>
      </c>
      <c r="J68" s="8"/>
      <c r="K68" s="4"/>
      <c r="L68" s="4"/>
      <c r="M68" s="5"/>
    </row>
    <row r="69" spans="2:13" ht="15" customHeight="1" x14ac:dyDescent="0.25">
      <c r="B69" s="37">
        <v>65</v>
      </c>
      <c r="C69" s="23" t="s">
        <v>16</v>
      </c>
      <c r="D69" s="23" t="s">
        <v>43</v>
      </c>
      <c r="E69" s="38" t="s">
        <v>185</v>
      </c>
      <c r="F69" s="56" t="s">
        <v>186</v>
      </c>
      <c r="G69" s="27"/>
      <c r="H69" s="38" t="s">
        <v>125</v>
      </c>
      <c r="I69" s="40">
        <v>8.8000000000000007</v>
      </c>
      <c r="J69" s="8"/>
      <c r="K69" s="4"/>
      <c r="L69" s="4"/>
      <c r="M69" s="5"/>
    </row>
    <row r="70" spans="2:13" ht="15" customHeight="1" x14ac:dyDescent="0.25">
      <c r="B70" s="37">
        <v>66</v>
      </c>
      <c r="C70" s="23" t="s">
        <v>30</v>
      </c>
      <c r="D70" s="23" t="s">
        <v>187</v>
      </c>
      <c r="E70" s="38" t="s">
        <v>188</v>
      </c>
      <c r="F70" s="23" t="s">
        <v>62</v>
      </c>
      <c r="G70" s="27"/>
      <c r="H70" s="38" t="s">
        <v>189</v>
      </c>
      <c r="I70" s="40">
        <v>7</v>
      </c>
      <c r="J70" s="8"/>
      <c r="K70" s="4"/>
      <c r="L70" s="4"/>
      <c r="M70" s="5"/>
    </row>
    <row r="71" spans="2:13" ht="15" customHeight="1" x14ac:dyDescent="0.25">
      <c r="B71" s="37">
        <v>67</v>
      </c>
      <c r="C71" s="23" t="s">
        <v>16</v>
      </c>
      <c r="D71" s="23" t="s">
        <v>50</v>
      </c>
      <c r="E71" s="38" t="s">
        <v>190</v>
      </c>
      <c r="F71" s="23" t="s">
        <v>191</v>
      </c>
      <c r="G71" s="39" t="s">
        <v>192</v>
      </c>
      <c r="H71" s="38" t="s">
        <v>193</v>
      </c>
      <c r="I71" s="40">
        <v>9</v>
      </c>
      <c r="J71" s="8"/>
      <c r="K71" s="4"/>
      <c r="L71" s="4"/>
      <c r="M71" s="5"/>
    </row>
    <row r="72" spans="2:13" ht="15" customHeight="1" x14ac:dyDescent="0.25">
      <c r="B72" s="37">
        <v>68</v>
      </c>
      <c r="C72" s="23" t="s">
        <v>16</v>
      </c>
      <c r="D72" s="23" t="s">
        <v>50</v>
      </c>
      <c r="E72" s="38" t="s">
        <v>194</v>
      </c>
      <c r="F72" s="23" t="s">
        <v>191</v>
      </c>
      <c r="G72" s="39" t="s">
        <v>195</v>
      </c>
      <c r="H72" s="38" t="s">
        <v>61</v>
      </c>
      <c r="I72" s="40">
        <v>8.9</v>
      </c>
      <c r="J72" s="8"/>
      <c r="K72" s="4"/>
      <c r="L72" s="4"/>
      <c r="M72" s="5"/>
    </row>
    <row r="73" spans="2:13" ht="15" customHeight="1" x14ac:dyDescent="0.25">
      <c r="B73" s="37">
        <v>69</v>
      </c>
      <c r="C73" s="23" t="s">
        <v>16</v>
      </c>
      <c r="D73" s="23" t="s">
        <v>80</v>
      </c>
      <c r="E73" s="38" t="s">
        <v>196</v>
      </c>
      <c r="F73" s="23" t="s">
        <v>191</v>
      </c>
      <c r="G73" s="39" t="s">
        <v>197</v>
      </c>
      <c r="H73" s="38" t="s">
        <v>198</v>
      </c>
      <c r="I73" s="40">
        <v>8.5</v>
      </c>
      <c r="J73" s="8"/>
      <c r="K73" s="4"/>
      <c r="L73" s="4"/>
      <c r="M73" s="5"/>
    </row>
    <row r="74" spans="2:13" ht="15" customHeight="1" x14ac:dyDescent="0.25">
      <c r="B74" s="37">
        <v>70</v>
      </c>
      <c r="C74" s="23" t="s">
        <v>16</v>
      </c>
      <c r="D74" s="23" t="s">
        <v>102</v>
      </c>
      <c r="E74" s="47" t="s">
        <v>199</v>
      </c>
      <c r="F74" s="23" t="s">
        <v>53</v>
      </c>
      <c r="G74" s="27"/>
      <c r="H74" s="38" t="s">
        <v>200</v>
      </c>
      <c r="I74" s="40">
        <v>8</v>
      </c>
      <c r="J74" s="8"/>
      <c r="K74" s="4"/>
      <c r="L74" s="4"/>
      <c r="M74" s="5"/>
    </row>
    <row r="75" spans="2:13" ht="15" customHeight="1" x14ac:dyDescent="0.25">
      <c r="B75" s="37">
        <v>71</v>
      </c>
      <c r="C75" s="23" t="s">
        <v>30</v>
      </c>
      <c r="D75" s="23" t="s">
        <v>80</v>
      </c>
      <c r="E75" s="47" t="s">
        <v>201</v>
      </c>
      <c r="F75" s="23" t="s">
        <v>53</v>
      </c>
      <c r="G75" s="27"/>
      <c r="H75" s="38" t="s">
        <v>202</v>
      </c>
      <c r="I75" s="40">
        <v>7.5</v>
      </c>
      <c r="J75" s="8"/>
      <c r="K75" s="4"/>
      <c r="L75" s="4"/>
      <c r="M75" s="5"/>
    </row>
    <row r="76" spans="2:13" ht="30" customHeight="1" x14ac:dyDescent="0.25">
      <c r="B76" s="37">
        <v>72</v>
      </c>
      <c r="C76" s="23" t="s">
        <v>16</v>
      </c>
      <c r="D76" s="23" t="s">
        <v>110</v>
      </c>
      <c r="E76" s="48" t="s">
        <v>203</v>
      </c>
      <c r="F76" s="23" t="s">
        <v>53</v>
      </c>
      <c r="G76" s="41" t="s">
        <v>204</v>
      </c>
      <c r="H76" s="38" t="s">
        <v>205</v>
      </c>
      <c r="I76" s="40">
        <v>8.5</v>
      </c>
      <c r="J76" s="8"/>
      <c r="K76" s="4"/>
      <c r="L76" s="4"/>
      <c r="M76" s="5"/>
    </row>
    <row r="77" spans="2:13" ht="15" customHeight="1" x14ac:dyDescent="0.25">
      <c r="B77" s="37">
        <v>73</v>
      </c>
      <c r="C77" s="23" t="s">
        <v>16</v>
      </c>
      <c r="D77" s="23" t="s">
        <v>43</v>
      </c>
      <c r="E77" s="47" t="s">
        <v>206</v>
      </c>
      <c r="F77" s="23" t="s">
        <v>53</v>
      </c>
      <c r="G77" s="39" t="s">
        <v>207</v>
      </c>
      <c r="H77" s="38" t="s">
        <v>200</v>
      </c>
      <c r="I77" s="40">
        <v>9</v>
      </c>
      <c r="J77" s="8"/>
      <c r="K77" s="4"/>
      <c r="L77" s="4"/>
      <c r="M77" s="5"/>
    </row>
    <row r="78" spans="2:13" ht="15" customHeight="1" x14ac:dyDescent="0.25">
      <c r="B78" s="37">
        <v>74</v>
      </c>
      <c r="C78" s="23" t="s">
        <v>16</v>
      </c>
      <c r="D78" s="23" t="s">
        <v>31</v>
      </c>
      <c r="E78" s="47" t="s">
        <v>208</v>
      </c>
      <c r="F78" s="23" t="s">
        <v>53</v>
      </c>
      <c r="G78" s="27"/>
      <c r="H78" s="38" t="s">
        <v>209</v>
      </c>
      <c r="I78" s="40">
        <v>9.5</v>
      </c>
      <c r="J78" s="8"/>
      <c r="K78" s="4"/>
      <c r="L78" s="4"/>
      <c r="M78" s="5"/>
    </row>
    <row r="79" spans="2:13" ht="15" customHeight="1" x14ac:dyDescent="0.25">
      <c r="B79" s="37">
        <v>75</v>
      </c>
      <c r="C79" s="23" t="s">
        <v>16</v>
      </c>
      <c r="D79" s="23" t="s">
        <v>17</v>
      </c>
      <c r="E79" s="38" t="s">
        <v>210</v>
      </c>
      <c r="F79" s="23" t="s">
        <v>191</v>
      </c>
      <c r="G79" s="27"/>
      <c r="H79" s="38" t="s">
        <v>122</v>
      </c>
      <c r="I79" s="40">
        <v>9</v>
      </c>
      <c r="J79" s="8"/>
      <c r="K79" s="4"/>
      <c r="L79" s="4"/>
      <c r="M79" s="5"/>
    </row>
    <row r="80" spans="2:13" ht="30" customHeight="1" x14ac:dyDescent="0.25">
      <c r="B80" s="37">
        <v>76</v>
      </c>
      <c r="C80" s="23" t="s">
        <v>16</v>
      </c>
      <c r="D80" s="23" t="s">
        <v>106</v>
      </c>
      <c r="E80" s="38" t="s">
        <v>211</v>
      </c>
      <c r="F80" s="23" t="s">
        <v>191</v>
      </c>
      <c r="G80" s="41" t="s">
        <v>212</v>
      </c>
      <c r="H80" s="38" t="s">
        <v>213</v>
      </c>
      <c r="I80" s="40">
        <v>9</v>
      </c>
      <c r="J80" s="8"/>
      <c r="K80" s="4"/>
      <c r="L80" s="4"/>
      <c r="M80" s="5"/>
    </row>
    <row r="81" spans="2:13" ht="15" customHeight="1" x14ac:dyDescent="0.25">
      <c r="B81" s="37">
        <v>77</v>
      </c>
      <c r="C81" s="23" t="s">
        <v>30</v>
      </c>
      <c r="D81" s="23" t="s">
        <v>17</v>
      </c>
      <c r="E81" s="38" t="s">
        <v>214</v>
      </c>
      <c r="F81" s="23" t="s">
        <v>191</v>
      </c>
      <c r="G81" s="27"/>
      <c r="H81" s="38" t="s">
        <v>142</v>
      </c>
      <c r="I81" s="40">
        <v>8.5</v>
      </c>
      <c r="J81" s="8"/>
      <c r="K81" s="4"/>
      <c r="L81" s="4"/>
      <c r="M81" s="5"/>
    </row>
    <row r="82" spans="2:13" ht="15" customHeight="1" x14ac:dyDescent="0.25">
      <c r="B82" s="37">
        <v>78</v>
      </c>
      <c r="C82" s="23" t="s">
        <v>16</v>
      </c>
      <c r="D82" s="23" t="s">
        <v>43</v>
      </c>
      <c r="E82" s="38" t="s">
        <v>215</v>
      </c>
      <c r="F82" s="23" t="s">
        <v>191</v>
      </c>
      <c r="G82" s="27"/>
      <c r="H82" s="38" t="s">
        <v>216</v>
      </c>
      <c r="I82" s="40">
        <v>9</v>
      </c>
      <c r="J82" s="8"/>
      <c r="K82" s="4"/>
      <c r="L82" s="4"/>
      <c r="M82" s="5"/>
    </row>
    <row r="83" spans="2:13" ht="15" customHeight="1" x14ac:dyDescent="0.25">
      <c r="B83" s="37">
        <v>79</v>
      </c>
      <c r="C83" s="23" t="s">
        <v>16</v>
      </c>
      <c r="D83" s="23" t="s">
        <v>43</v>
      </c>
      <c r="E83" s="38" t="s">
        <v>217</v>
      </c>
      <c r="F83" s="23" t="s">
        <v>191</v>
      </c>
      <c r="G83" s="39" t="s">
        <v>218</v>
      </c>
      <c r="H83" s="38" t="s">
        <v>219</v>
      </c>
      <c r="I83" s="58" t="s">
        <v>16</v>
      </c>
      <c r="J83" s="8"/>
      <c r="K83" s="4"/>
      <c r="L83" s="4"/>
      <c r="M83" s="5"/>
    </row>
    <row r="84" spans="2:13" ht="15" customHeight="1" x14ac:dyDescent="0.25">
      <c r="B84" s="37">
        <v>80</v>
      </c>
      <c r="C84" s="23" t="s">
        <v>30</v>
      </c>
      <c r="D84" s="23" t="s">
        <v>220</v>
      </c>
      <c r="E84" s="38" t="s">
        <v>221</v>
      </c>
      <c r="F84" s="23" t="s">
        <v>62</v>
      </c>
      <c r="G84" s="39" t="s">
        <v>222</v>
      </c>
      <c r="H84" s="38" t="s">
        <v>223</v>
      </c>
      <c r="I84" s="58">
        <v>8</v>
      </c>
      <c r="J84" s="8"/>
      <c r="K84" s="4"/>
      <c r="L84" s="4"/>
      <c r="M84" s="5"/>
    </row>
    <row r="85" spans="2:13" ht="15" customHeight="1" x14ac:dyDescent="0.25">
      <c r="B85" s="37">
        <v>81</v>
      </c>
      <c r="C85" s="23" t="s">
        <v>30</v>
      </c>
      <c r="D85" s="23" t="s">
        <v>224</v>
      </c>
      <c r="E85" s="38" t="s">
        <v>41</v>
      </c>
      <c r="F85" s="23" t="s">
        <v>225</v>
      </c>
      <c r="G85" s="27"/>
      <c r="H85" s="38" t="s">
        <v>226</v>
      </c>
      <c r="I85" s="58">
        <v>8</v>
      </c>
      <c r="J85" s="8"/>
      <c r="K85" s="4"/>
      <c r="L85" s="4"/>
      <c r="M85" s="5"/>
    </row>
    <row r="86" spans="2:13" ht="15" customHeight="1" x14ac:dyDescent="0.25">
      <c r="B86" s="37">
        <v>82</v>
      </c>
      <c r="C86" s="23" t="s">
        <v>30</v>
      </c>
      <c r="D86" s="23" t="s">
        <v>50</v>
      </c>
      <c r="E86" s="38" t="s">
        <v>227</v>
      </c>
      <c r="F86" s="23" t="s">
        <v>228</v>
      </c>
      <c r="G86" s="27"/>
      <c r="H86" s="38" t="s">
        <v>229</v>
      </c>
      <c r="I86" s="58">
        <v>7</v>
      </c>
      <c r="J86" s="8"/>
      <c r="K86" s="4"/>
      <c r="L86" s="4"/>
      <c r="M86" s="5"/>
    </row>
    <row r="87" spans="2:13" ht="15" customHeight="1" x14ac:dyDescent="0.25">
      <c r="B87" s="37">
        <v>83</v>
      </c>
      <c r="C87" s="23" t="s">
        <v>30</v>
      </c>
      <c r="D87" s="23" t="s">
        <v>224</v>
      </c>
      <c r="E87" s="38" t="s">
        <v>230</v>
      </c>
      <c r="F87" s="23" t="s">
        <v>133</v>
      </c>
      <c r="G87" s="27"/>
      <c r="H87" s="38" t="s">
        <v>231</v>
      </c>
      <c r="I87" s="58">
        <v>8.6999999999999993</v>
      </c>
      <c r="J87" s="8"/>
      <c r="K87" s="4"/>
      <c r="L87" s="4"/>
      <c r="M87" s="5"/>
    </row>
    <row r="88" spans="2:13" ht="15" customHeight="1" x14ac:dyDescent="0.25">
      <c r="B88" s="37">
        <v>84</v>
      </c>
      <c r="C88" s="23" t="s">
        <v>30</v>
      </c>
      <c r="D88" s="23" t="s">
        <v>224</v>
      </c>
      <c r="E88" s="38" t="s">
        <v>232</v>
      </c>
      <c r="F88" s="23" t="s">
        <v>233</v>
      </c>
      <c r="G88" s="27"/>
      <c r="H88" s="38" t="s">
        <v>234</v>
      </c>
      <c r="I88" s="58">
        <v>7.9</v>
      </c>
      <c r="J88" s="8"/>
      <c r="K88" s="4"/>
      <c r="L88" s="4"/>
      <c r="M88" s="5"/>
    </row>
    <row r="89" spans="2:13" ht="15" customHeight="1" x14ac:dyDescent="0.25">
      <c r="B89" s="37">
        <v>85</v>
      </c>
      <c r="C89" s="23" t="s">
        <v>30</v>
      </c>
      <c r="D89" s="23" t="s">
        <v>102</v>
      </c>
      <c r="E89" s="38" t="s">
        <v>235</v>
      </c>
      <c r="F89" s="23" t="s">
        <v>236</v>
      </c>
      <c r="G89" s="27"/>
      <c r="H89" s="38" t="s">
        <v>61</v>
      </c>
      <c r="I89" s="58">
        <v>6.9</v>
      </c>
      <c r="J89" s="8"/>
      <c r="K89" s="4"/>
      <c r="L89" s="4"/>
      <c r="M89" s="5"/>
    </row>
    <row r="90" spans="2:13" ht="15" customHeight="1" x14ac:dyDescent="0.25">
      <c r="B90" s="37">
        <v>86</v>
      </c>
      <c r="C90" s="23" t="s">
        <v>30</v>
      </c>
      <c r="D90" s="53" t="s">
        <v>136</v>
      </c>
      <c r="E90" s="27" t="s">
        <v>237</v>
      </c>
      <c r="F90" s="53" t="s">
        <v>239</v>
      </c>
      <c r="G90" s="27"/>
      <c r="H90" s="27" t="s">
        <v>240</v>
      </c>
      <c r="I90" s="58"/>
      <c r="J90" s="8"/>
      <c r="K90" s="4"/>
      <c r="L90" s="4"/>
      <c r="M90" s="5"/>
    </row>
    <row r="91" spans="2:13" ht="15" customHeight="1" thickBot="1" x14ac:dyDescent="0.3">
      <c r="B91" s="37">
        <v>87</v>
      </c>
      <c r="C91" s="23" t="s">
        <v>30</v>
      </c>
      <c r="D91" s="53" t="s">
        <v>136</v>
      </c>
      <c r="E91" s="27" t="s">
        <v>238</v>
      </c>
      <c r="F91" s="53" t="s">
        <v>239</v>
      </c>
      <c r="G91" s="27"/>
      <c r="H91" s="27" t="s">
        <v>241</v>
      </c>
      <c r="I91" s="58"/>
      <c r="J91" s="9"/>
      <c r="K91" s="6"/>
      <c r="L91" s="6"/>
      <c r="M91" s="7"/>
    </row>
    <row r="92" spans="2:13" ht="15" customHeight="1" x14ac:dyDescent="0.25">
      <c r="B92" s="37">
        <v>88</v>
      </c>
      <c r="C92" s="23" t="s">
        <v>30</v>
      </c>
      <c r="D92" s="53" t="s">
        <v>17</v>
      </c>
      <c r="E92" s="27" t="s">
        <v>242</v>
      </c>
      <c r="F92" s="53" t="s">
        <v>62</v>
      </c>
      <c r="G92" s="27"/>
      <c r="H92" s="27" t="s">
        <v>246</v>
      </c>
      <c r="I92" s="58"/>
    </row>
    <row r="93" spans="2:13" ht="15" customHeight="1" x14ac:dyDescent="0.25">
      <c r="B93" s="37">
        <v>89</v>
      </c>
      <c r="C93" s="23" t="s">
        <v>30</v>
      </c>
      <c r="D93" s="53" t="s">
        <v>17</v>
      </c>
      <c r="E93" s="27" t="s">
        <v>243</v>
      </c>
      <c r="F93" s="53" t="s">
        <v>53</v>
      </c>
      <c r="G93" s="27"/>
      <c r="H93" s="27" t="s">
        <v>61</v>
      </c>
      <c r="I93" s="58"/>
    </row>
    <row r="94" spans="2:13" ht="15" customHeight="1" x14ac:dyDescent="0.25">
      <c r="B94" s="37">
        <v>90</v>
      </c>
      <c r="C94" s="23" t="s">
        <v>30</v>
      </c>
      <c r="D94" s="53" t="s">
        <v>158</v>
      </c>
      <c r="E94" s="27" t="s">
        <v>244</v>
      </c>
      <c r="F94" s="53" t="s">
        <v>233</v>
      </c>
      <c r="G94" s="27"/>
      <c r="H94" s="27" t="s">
        <v>245</v>
      </c>
      <c r="I94" s="58"/>
    </row>
    <row r="95" spans="2:13" ht="15" customHeight="1" x14ac:dyDescent="0.25">
      <c r="B95" s="37">
        <v>91</v>
      </c>
      <c r="C95" s="23" t="s">
        <v>30</v>
      </c>
      <c r="D95" s="53" t="s">
        <v>50</v>
      </c>
      <c r="E95" s="27" t="s">
        <v>247</v>
      </c>
      <c r="F95" s="53" t="s">
        <v>233</v>
      </c>
      <c r="G95" s="27"/>
      <c r="H95" s="27" t="s">
        <v>248</v>
      </c>
      <c r="I95" s="58"/>
    </row>
    <row r="96" spans="2:13" ht="15" customHeight="1" x14ac:dyDescent="0.25">
      <c r="B96" s="37">
        <v>92</v>
      </c>
      <c r="C96" s="23" t="s">
        <v>30</v>
      </c>
      <c r="D96" s="53" t="s">
        <v>43</v>
      </c>
      <c r="E96" s="27" t="s">
        <v>249</v>
      </c>
      <c r="F96" s="53" t="s">
        <v>250</v>
      </c>
      <c r="G96" s="27"/>
      <c r="H96" s="27" t="s">
        <v>245</v>
      </c>
      <c r="I96" s="58"/>
    </row>
    <row r="97" spans="2:9" ht="15" customHeight="1" x14ac:dyDescent="0.25">
      <c r="B97" s="37">
        <v>93</v>
      </c>
      <c r="C97" s="23" t="s">
        <v>30</v>
      </c>
      <c r="D97" s="53" t="s">
        <v>80</v>
      </c>
      <c r="E97" s="27" t="s">
        <v>251</v>
      </c>
      <c r="F97" s="60" t="s">
        <v>252</v>
      </c>
      <c r="G97" s="27"/>
      <c r="H97" s="27" t="s">
        <v>255</v>
      </c>
      <c r="I97" s="58"/>
    </row>
    <row r="98" spans="2:9" ht="15" customHeight="1" x14ac:dyDescent="0.25">
      <c r="B98" s="37">
        <v>94</v>
      </c>
      <c r="C98" s="23" t="s">
        <v>30</v>
      </c>
      <c r="D98" s="53" t="s">
        <v>102</v>
      </c>
      <c r="E98" s="27" t="s">
        <v>254</v>
      </c>
      <c r="F98" s="53" t="s">
        <v>250</v>
      </c>
      <c r="G98" s="27"/>
      <c r="H98" s="27" t="s">
        <v>253</v>
      </c>
      <c r="I98" s="58"/>
    </row>
    <row r="99" spans="2:9" ht="15" customHeight="1" x14ac:dyDescent="0.25">
      <c r="B99" s="37">
        <v>95</v>
      </c>
      <c r="C99" s="23" t="s">
        <v>30</v>
      </c>
      <c r="D99" s="53" t="s">
        <v>256</v>
      </c>
      <c r="E99" s="27" t="s">
        <v>257</v>
      </c>
      <c r="F99" s="53" t="s">
        <v>258</v>
      </c>
      <c r="G99" s="27" t="s">
        <v>266</v>
      </c>
      <c r="H99" s="27" t="s">
        <v>259</v>
      </c>
      <c r="I99" s="58"/>
    </row>
    <row r="100" spans="2:9" ht="15" customHeight="1" x14ac:dyDescent="0.25">
      <c r="B100" s="37">
        <v>96</v>
      </c>
      <c r="C100" s="23" t="s">
        <v>30</v>
      </c>
      <c r="D100" s="53" t="s">
        <v>102</v>
      </c>
      <c r="E100" s="27" t="s">
        <v>37</v>
      </c>
      <c r="F100" s="53" t="s">
        <v>250</v>
      </c>
      <c r="G100" s="27"/>
      <c r="H100" s="27" t="s">
        <v>125</v>
      </c>
      <c r="I100" s="58"/>
    </row>
    <row r="101" spans="2:9" ht="15" customHeight="1" x14ac:dyDescent="0.25">
      <c r="B101" s="37">
        <v>97</v>
      </c>
      <c r="C101" s="23" t="s">
        <v>30</v>
      </c>
      <c r="D101" s="53" t="s">
        <v>224</v>
      </c>
      <c r="E101" s="27" t="s">
        <v>260</v>
      </c>
      <c r="F101" s="53" t="s">
        <v>252</v>
      </c>
      <c r="G101" s="27"/>
      <c r="H101" s="27" t="s">
        <v>125</v>
      </c>
      <c r="I101" s="58"/>
    </row>
    <row r="102" spans="2:9" ht="28.5" customHeight="1" x14ac:dyDescent="0.25">
      <c r="B102" s="37">
        <v>98</v>
      </c>
      <c r="C102" s="23" t="s">
        <v>30</v>
      </c>
      <c r="D102" s="53" t="s">
        <v>43</v>
      </c>
      <c r="E102" s="27" t="s">
        <v>267</v>
      </c>
      <c r="F102" s="53" t="s">
        <v>191</v>
      </c>
      <c r="G102" s="63" t="s">
        <v>265</v>
      </c>
      <c r="H102" s="27" t="s">
        <v>261</v>
      </c>
      <c r="I102" s="58"/>
    </row>
    <row r="103" spans="2:9" ht="15" customHeight="1" x14ac:dyDescent="0.25">
      <c r="B103" s="37">
        <v>99</v>
      </c>
      <c r="C103" s="23" t="s">
        <v>30</v>
      </c>
      <c r="D103" s="53" t="s">
        <v>43</v>
      </c>
      <c r="E103" s="27" t="s">
        <v>268</v>
      </c>
      <c r="F103" s="53" t="s">
        <v>191</v>
      </c>
      <c r="G103" s="27"/>
      <c r="H103" s="27" t="s">
        <v>262</v>
      </c>
      <c r="I103" s="58"/>
    </row>
    <row r="104" spans="2:9" ht="15" customHeight="1" x14ac:dyDescent="0.25">
      <c r="B104" s="37">
        <v>100</v>
      </c>
      <c r="C104" s="23" t="s">
        <v>30</v>
      </c>
      <c r="D104" s="53" t="s">
        <v>256</v>
      </c>
      <c r="E104" s="27" t="s">
        <v>257</v>
      </c>
      <c r="F104" s="53" t="s">
        <v>191</v>
      </c>
      <c r="G104" s="27"/>
      <c r="H104" s="27" t="s">
        <v>263</v>
      </c>
      <c r="I104" s="58"/>
    </row>
    <row r="105" spans="2:9" ht="15" customHeight="1" x14ac:dyDescent="0.25">
      <c r="B105" s="37">
        <v>101</v>
      </c>
      <c r="C105" s="23" t="s">
        <v>30</v>
      </c>
      <c r="D105" s="53" t="s">
        <v>269</v>
      </c>
      <c r="E105" s="27" t="s">
        <v>270</v>
      </c>
      <c r="F105" s="53" t="s">
        <v>191</v>
      </c>
      <c r="G105" s="27"/>
      <c r="H105" s="27" t="s">
        <v>264</v>
      </c>
      <c r="I105" s="58"/>
    </row>
    <row r="106" spans="2:9" ht="15" customHeight="1" x14ac:dyDescent="0.25">
      <c r="B106" s="37">
        <v>102</v>
      </c>
      <c r="C106" s="23" t="s">
        <v>30</v>
      </c>
      <c r="D106" s="53"/>
      <c r="E106" s="27"/>
      <c r="F106" s="53"/>
      <c r="G106" s="27"/>
      <c r="H106" s="27"/>
      <c r="I106" s="58"/>
    </row>
    <row r="107" spans="2:9" ht="15" customHeight="1" x14ac:dyDescent="0.25">
      <c r="B107" s="37">
        <v>103</v>
      </c>
      <c r="C107" s="23" t="s">
        <v>30</v>
      </c>
      <c r="D107" s="53"/>
      <c r="E107" s="27"/>
      <c r="F107" s="53"/>
      <c r="G107" s="27"/>
      <c r="H107" s="27"/>
      <c r="I107" s="58"/>
    </row>
    <row r="108" spans="2:9" ht="15" customHeight="1" x14ac:dyDescent="0.25">
      <c r="B108" s="37">
        <v>104</v>
      </c>
      <c r="C108" s="23" t="s">
        <v>30</v>
      </c>
      <c r="D108" s="53"/>
      <c r="E108" s="27"/>
      <c r="F108" s="53"/>
      <c r="G108" s="27"/>
      <c r="H108" s="27"/>
      <c r="I108" s="58"/>
    </row>
    <row r="109" spans="2:9" ht="15" customHeight="1" x14ac:dyDescent="0.25">
      <c r="B109" s="37">
        <v>105</v>
      </c>
      <c r="C109" s="23" t="s">
        <v>30</v>
      </c>
      <c r="D109" s="53"/>
      <c r="E109" s="27"/>
      <c r="F109" s="53"/>
      <c r="G109" s="27"/>
      <c r="H109" s="27"/>
      <c r="I109" s="58"/>
    </row>
    <row r="110" spans="2:9" ht="15" customHeight="1" x14ac:dyDescent="0.25">
      <c r="B110" s="37">
        <v>106</v>
      </c>
      <c r="C110" s="23" t="s">
        <v>30</v>
      </c>
      <c r="D110" s="53"/>
      <c r="E110" s="27"/>
      <c r="F110" s="53"/>
      <c r="G110" s="27"/>
      <c r="H110" s="27"/>
      <c r="I110" s="58"/>
    </row>
    <row r="111" spans="2:9" ht="15" customHeight="1" x14ac:dyDescent="0.25">
      <c r="B111" s="37">
        <v>107</v>
      </c>
      <c r="C111" s="23" t="s">
        <v>30</v>
      </c>
      <c r="D111" s="53"/>
      <c r="E111" s="27"/>
      <c r="F111" s="53"/>
      <c r="G111" s="27"/>
      <c r="H111" s="27"/>
      <c r="I111" s="58"/>
    </row>
    <row r="112" spans="2:9" ht="15" customHeight="1" x14ac:dyDescent="0.25">
      <c r="B112" s="37">
        <v>108</v>
      </c>
      <c r="C112" s="23" t="s">
        <v>30</v>
      </c>
      <c r="D112" s="53"/>
      <c r="E112" s="27"/>
      <c r="F112" s="53"/>
      <c r="G112" s="27"/>
      <c r="H112" s="27"/>
      <c r="I112" s="58"/>
    </row>
    <row r="113" spans="2:9" ht="15" customHeight="1" x14ac:dyDescent="0.25">
      <c r="B113" s="26"/>
      <c r="C113" s="27"/>
      <c r="D113" s="53"/>
      <c r="E113" s="27"/>
      <c r="F113" s="53"/>
      <c r="G113" s="27"/>
      <c r="H113" s="27"/>
      <c r="I113" s="58"/>
    </row>
    <row r="114" spans="2:9" ht="15" customHeight="1" x14ac:dyDescent="0.25">
      <c r="B114" s="26"/>
      <c r="C114" s="27"/>
      <c r="D114" s="53"/>
      <c r="E114" s="27"/>
      <c r="F114" s="53"/>
      <c r="G114" s="27"/>
      <c r="H114" s="27"/>
      <c r="I114" s="58"/>
    </row>
    <row r="115" spans="2:9" ht="15" customHeight="1" x14ac:dyDescent="0.25">
      <c r="B115" s="26"/>
      <c r="C115" s="27"/>
      <c r="D115" s="53"/>
      <c r="E115" s="27"/>
      <c r="F115" s="53"/>
      <c r="G115" s="27"/>
      <c r="H115" s="27"/>
      <c r="I115" s="58"/>
    </row>
    <row r="116" spans="2:9" ht="15" customHeight="1" x14ac:dyDescent="0.25">
      <c r="B116" s="26"/>
      <c r="C116" s="27"/>
      <c r="D116" s="53"/>
      <c r="E116" s="27"/>
      <c r="F116" s="53"/>
      <c r="G116" s="27"/>
      <c r="H116" s="27"/>
      <c r="I116" s="58"/>
    </row>
    <row r="117" spans="2:9" ht="15" customHeight="1" x14ac:dyDescent="0.25">
      <c r="B117" s="26"/>
      <c r="C117" s="27"/>
      <c r="D117" s="53"/>
      <c r="E117" s="27"/>
      <c r="F117" s="53"/>
      <c r="G117" s="27"/>
      <c r="H117" s="27"/>
      <c r="I117" s="58"/>
    </row>
    <row r="118" spans="2:9" ht="15" customHeight="1" x14ac:dyDescent="0.25">
      <c r="B118" s="26"/>
      <c r="C118" s="27"/>
      <c r="D118" s="53"/>
      <c r="E118" s="27"/>
      <c r="F118" s="53"/>
      <c r="G118" s="27"/>
      <c r="H118" s="27"/>
      <c r="I118" s="58"/>
    </row>
    <row r="119" spans="2:9" ht="15" customHeight="1" x14ac:dyDescent="0.25">
      <c r="B119" s="26"/>
      <c r="C119" s="27"/>
      <c r="D119" s="53"/>
      <c r="E119" s="27"/>
      <c r="F119" s="53"/>
      <c r="G119" s="27"/>
      <c r="H119" s="27"/>
      <c r="I119" s="58"/>
    </row>
    <row r="120" spans="2:9" ht="15" customHeight="1" x14ac:dyDescent="0.25">
      <c r="B120" s="26"/>
      <c r="C120" s="27"/>
      <c r="D120" s="53"/>
      <c r="E120" s="27"/>
      <c r="F120" s="53"/>
      <c r="G120" s="27"/>
      <c r="H120" s="27"/>
      <c r="I120" s="58"/>
    </row>
    <row r="121" spans="2:9" ht="15" customHeight="1" x14ac:dyDescent="0.25">
      <c r="B121" s="26"/>
      <c r="C121" s="27"/>
      <c r="D121" s="53"/>
      <c r="E121" s="27"/>
      <c r="F121" s="53"/>
      <c r="G121" s="27"/>
      <c r="H121" s="27"/>
      <c r="I121" s="58"/>
    </row>
    <row r="122" spans="2:9" ht="15" customHeight="1" x14ac:dyDescent="0.25">
      <c r="B122" s="26"/>
      <c r="C122" s="27"/>
      <c r="D122" s="53"/>
      <c r="E122" s="27"/>
      <c r="F122" s="53"/>
      <c r="G122" s="27"/>
      <c r="H122" s="27"/>
      <c r="I122" s="58"/>
    </row>
    <row r="123" spans="2:9" ht="15" customHeight="1" x14ac:dyDescent="0.25">
      <c r="B123" s="26"/>
      <c r="C123" s="27"/>
      <c r="D123" s="53"/>
      <c r="E123" s="27"/>
      <c r="F123" s="53"/>
      <c r="G123" s="27"/>
      <c r="H123" s="27"/>
      <c r="I123" s="58"/>
    </row>
    <row r="124" spans="2:9" ht="15" customHeight="1" x14ac:dyDescent="0.25">
      <c r="B124" s="26"/>
      <c r="C124" s="27"/>
      <c r="D124" s="53"/>
      <c r="E124" s="27"/>
      <c r="F124" s="53"/>
      <c r="G124" s="27"/>
      <c r="H124" s="27"/>
      <c r="I124" s="58"/>
    </row>
    <row r="125" spans="2:9" ht="15" customHeight="1" x14ac:dyDescent="0.25">
      <c r="B125" s="26"/>
      <c r="C125" s="27"/>
      <c r="D125" s="53"/>
      <c r="E125" s="27"/>
      <c r="F125" s="53"/>
      <c r="G125" s="27"/>
      <c r="H125" s="27"/>
      <c r="I125" s="58"/>
    </row>
    <row r="126" spans="2:9" ht="15" customHeight="1" x14ac:dyDescent="0.25">
      <c r="B126" s="26"/>
      <c r="C126" s="27"/>
      <c r="D126" s="53"/>
      <c r="E126" s="27"/>
      <c r="F126" s="53"/>
      <c r="G126" s="27"/>
      <c r="H126" s="27"/>
      <c r="I126" s="58"/>
    </row>
    <row r="127" spans="2:9" ht="15" customHeight="1" x14ac:dyDescent="0.25">
      <c r="B127" s="26"/>
      <c r="C127" s="27"/>
      <c r="D127" s="53"/>
      <c r="E127" s="27"/>
      <c r="F127" s="53"/>
      <c r="G127" s="27"/>
      <c r="H127" s="27"/>
      <c r="I127" s="58"/>
    </row>
    <row r="128" spans="2:9" ht="15" customHeight="1" x14ac:dyDescent="0.25">
      <c r="B128" s="26"/>
      <c r="C128" s="27"/>
      <c r="D128" s="53"/>
      <c r="E128" s="27"/>
      <c r="F128" s="53"/>
      <c r="G128" s="27"/>
      <c r="H128" s="27"/>
      <c r="I128" s="58"/>
    </row>
    <row r="129" spans="2:9" ht="15" customHeight="1" x14ac:dyDescent="0.25">
      <c r="B129" s="26"/>
      <c r="C129" s="27"/>
      <c r="D129" s="53"/>
      <c r="E129" s="27"/>
      <c r="F129" s="53"/>
      <c r="G129" s="27"/>
      <c r="H129" s="27"/>
      <c r="I129" s="58"/>
    </row>
    <row r="130" spans="2:9" ht="15" customHeight="1" x14ac:dyDescent="0.25">
      <c r="B130" s="26"/>
      <c r="C130" s="27"/>
      <c r="D130" s="53"/>
      <c r="E130" s="27"/>
      <c r="F130" s="53"/>
      <c r="G130" s="27"/>
      <c r="H130" s="27"/>
      <c r="I130" s="58"/>
    </row>
    <row r="131" spans="2:9" ht="15" customHeight="1" x14ac:dyDescent="0.25">
      <c r="B131" s="26"/>
      <c r="C131" s="27"/>
      <c r="D131" s="53"/>
      <c r="E131" s="27"/>
      <c r="F131" s="53"/>
      <c r="G131" s="27"/>
      <c r="H131" s="27"/>
      <c r="I131" s="58"/>
    </row>
    <row r="132" spans="2:9" ht="15" customHeight="1" x14ac:dyDescent="0.25">
      <c r="B132" s="26"/>
      <c r="C132" s="27"/>
      <c r="D132" s="53"/>
      <c r="E132" s="27"/>
      <c r="F132" s="53"/>
      <c r="G132" s="27"/>
      <c r="H132" s="27"/>
      <c r="I132" s="58"/>
    </row>
    <row r="133" spans="2:9" ht="15" customHeight="1" x14ac:dyDescent="0.25">
      <c r="B133" s="26"/>
      <c r="C133" s="27"/>
      <c r="D133" s="53"/>
      <c r="E133" s="27"/>
      <c r="F133" s="53"/>
      <c r="G133" s="27"/>
      <c r="H133" s="27"/>
      <c r="I133" s="58"/>
    </row>
    <row r="134" spans="2:9" ht="15" customHeight="1" x14ac:dyDescent="0.25">
      <c r="B134" s="26"/>
      <c r="C134" s="27"/>
      <c r="D134" s="53"/>
      <c r="E134" s="27"/>
      <c r="F134" s="53"/>
      <c r="G134" s="27"/>
      <c r="H134" s="27"/>
      <c r="I134" s="58"/>
    </row>
    <row r="135" spans="2:9" ht="15" customHeight="1" x14ac:dyDescent="0.25">
      <c r="B135" s="26"/>
      <c r="C135" s="27"/>
      <c r="D135" s="53"/>
      <c r="E135" s="27"/>
      <c r="F135" s="53"/>
      <c r="G135" s="27"/>
      <c r="H135" s="27"/>
      <c r="I135" s="58"/>
    </row>
    <row r="136" spans="2:9" ht="15" customHeight="1" x14ac:dyDescent="0.25">
      <c r="B136" s="26"/>
      <c r="C136" s="27"/>
      <c r="D136" s="53"/>
      <c r="E136" s="27"/>
      <c r="F136" s="53"/>
      <c r="G136" s="27"/>
      <c r="H136" s="27"/>
      <c r="I136" s="58"/>
    </row>
    <row r="137" spans="2:9" ht="15" customHeight="1" x14ac:dyDescent="0.25">
      <c r="B137" s="26"/>
      <c r="C137" s="27"/>
      <c r="D137" s="53"/>
      <c r="E137" s="27"/>
      <c r="F137" s="53"/>
      <c r="G137" s="27"/>
      <c r="H137" s="27"/>
      <c r="I137" s="58"/>
    </row>
    <row r="138" spans="2:9" ht="15" customHeight="1" x14ac:dyDescent="0.25">
      <c r="B138" s="26"/>
      <c r="C138" s="27"/>
      <c r="D138" s="53"/>
      <c r="E138" s="27"/>
      <c r="F138" s="53"/>
      <c r="G138" s="27"/>
      <c r="H138" s="27"/>
      <c r="I138" s="58"/>
    </row>
    <row r="139" spans="2:9" ht="15" customHeight="1" x14ac:dyDescent="0.25">
      <c r="B139" s="26"/>
      <c r="C139" s="27"/>
      <c r="D139" s="53"/>
      <c r="E139" s="27"/>
      <c r="F139" s="53"/>
      <c r="G139" s="27"/>
      <c r="H139" s="27"/>
      <c r="I139" s="58"/>
    </row>
    <row r="140" spans="2:9" ht="15" customHeight="1" x14ac:dyDescent="0.25">
      <c r="B140" s="26"/>
      <c r="C140" s="27"/>
      <c r="D140" s="53"/>
      <c r="E140" s="27"/>
      <c r="F140" s="53"/>
      <c r="G140" s="27"/>
      <c r="H140" s="27"/>
      <c r="I140" s="58"/>
    </row>
    <row r="141" spans="2:9" ht="15" customHeight="1" x14ac:dyDescent="0.25">
      <c r="B141" s="26"/>
      <c r="C141" s="27"/>
      <c r="D141" s="53"/>
      <c r="E141" s="27"/>
      <c r="F141" s="53"/>
      <c r="G141" s="27"/>
      <c r="H141" s="27"/>
      <c r="I141" s="58"/>
    </row>
    <row r="142" spans="2:9" ht="15" customHeight="1" x14ac:dyDescent="0.25">
      <c r="B142" s="26"/>
      <c r="C142" s="27"/>
      <c r="D142" s="53"/>
      <c r="E142" s="27"/>
      <c r="F142" s="53"/>
      <c r="G142" s="27"/>
      <c r="H142" s="27"/>
      <c r="I142" s="58"/>
    </row>
    <row r="143" spans="2:9" ht="15" customHeight="1" x14ac:dyDescent="0.25">
      <c r="B143" s="26"/>
      <c r="C143" s="27"/>
      <c r="D143" s="53"/>
      <c r="E143" s="27"/>
      <c r="F143" s="53"/>
      <c r="G143" s="27"/>
      <c r="H143" s="27"/>
      <c r="I143" s="58"/>
    </row>
    <row r="144" spans="2:9" ht="15" customHeight="1" x14ac:dyDescent="0.25">
      <c r="B144" s="26"/>
      <c r="C144" s="27"/>
      <c r="D144" s="53"/>
      <c r="E144" s="27"/>
      <c r="F144" s="53"/>
      <c r="G144" s="27"/>
      <c r="H144" s="27"/>
      <c r="I144" s="58"/>
    </row>
    <row r="145" spans="2:9" ht="15" customHeight="1" x14ac:dyDescent="0.25">
      <c r="B145" s="26"/>
      <c r="C145" s="27"/>
      <c r="D145" s="53"/>
      <c r="E145" s="27"/>
      <c r="F145" s="53"/>
      <c r="G145" s="27"/>
      <c r="H145" s="27"/>
      <c r="I145" s="58"/>
    </row>
    <row r="146" spans="2:9" ht="15" customHeight="1" x14ac:dyDescent="0.25">
      <c r="B146" s="26"/>
      <c r="C146" s="27"/>
      <c r="D146" s="53"/>
      <c r="E146" s="27"/>
      <c r="F146" s="53"/>
      <c r="G146" s="27"/>
      <c r="H146" s="27"/>
      <c r="I146" s="58"/>
    </row>
    <row r="147" spans="2:9" ht="15" customHeight="1" x14ac:dyDescent="0.25">
      <c r="B147" s="26"/>
      <c r="C147" s="27"/>
      <c r="D147" s="53"/>
      <c r="E147" s="27"/>
      <c r="F147" s="53"/>
      <c r="G147" s="27"/>
      <c r="H147" s="27"/>
      <c r="I147" s="58"/>
    </row>
    <row r="148" spans="2:9" ht="15" customHeight="1" x14ac:dyDescent="0.25">
      <c r="B148" s="26"/>
      <c r="C148" s="27"/>
      <c r="D148" s="53"/>
      <c r="E148" s="27"/>
      <c r="F148" s="53"/>
      <c r="G148" s="27"/>
      <c r="H148" s="27"/>
      <c r="I148" s="58"/>
    </row>
    <row r="149" spans="2:9" ht="15" customHeight="1" x14ac:dyDescent="0.25">
      <c r="B149" s="26"/>
      <c r="C149" s="27"/>
      <c r="D149" s="53"/>
      <c r="E149" s="27"/>
      <c r="F149" s="53"/>
      <c r="G149" s="27"/>
      <c r="H149" s="27"/>
      <c r="I149" s="58"/>
    </row>
    <row r="150" spans="2:9" ht="15" customHeight="1" x14ac:dyDescent="0.25">
      <c r="B150" s="26"/>
      <c r="C150" s="27"/>
      <c r="D150" s="53"/>
      <c r="E150" s="27"/>
      <c r="F150" s="53"/>
      <c r="G150" s="27"/>
      <c r="H150" s="27"/>
      <c r="I150" s="58"/>
    </row>
    <row r="151" spans="2:9" ht="15" customHeight="1" x14ac:dyDescent="0.25">
      <c r="B151" s="26"/>
      <c r="C151" s="27"/>
      <c r="D151" s="53"/>
      <c r="E151" s="27"/>
      <c r="F151" s="53"/>
      <c r="G151" s="27"/>
      <c r="H151" s="27"/>
      <c r="I151" s="58"/>
    </row>
    <row r="152" spans="2:9" ht="15" customHeight="1" x14ac:dyDescent="0.25">
      <c r="B152" s="26"/>
      <c r="C152" s="27"/>
      <c r="D152" s="53"/>
      <c r="E152" s="27"/>
      <c r="F152" s="53"/>
      <c r="G152" s="27"/>
      <c r="H152" s="27"/>
      <c r="I152" s="58"/>
    </row>
    <row r="153" spans="2:9" ht="15" customHeight="1" x14ac:dyDescent="0.25">
      <c r="B153" s="26"/>
      <c r="C153" s="27"/>
      <c r="D153" s="53"/>
      <c r="E153" s="27"/>
      <c r="F153" s="53"/>
      <c r="G153" s="27"/>
      <c r="H153" s="27"/>
      <c r="I153" s="58"/>
    </row>
    <row r="154" spans="2:9" ht="15" customHeight="1" x14ac:dyDescent="0.25">
      <c r="B154" s="26"/>
      <c r="C154" s="27"/>
      <c r="D154" s="53"/>
      <c r="E154" s="27"/>
      <c r="F154" s="53"/>
      <c r="G154" s="27"/>
      <c r="H154" s="27"/>
      <c r="I154" s="58"/>
    </row>
    <row r="155" spans="2:9" ht="15" customHeight="1" x14ac:dyDescent="0.25">
      <c r="B155" s="26"/>
      <c r="C155" s="27"/>
      <c r="D155" s="53"/>
      <c r="E155" s="27"/>
      <c r="F155" s="53"/>
      <c r="G155" s="27"/>
      <c r="H155" s="27"/>
      <c r="I155" s="58"/>
    </row>
    <row r="156" spans="2:9" ht="15" customHeight="1" x14ac:dyDescent="0.25">
      <c r="B156" s="26"/>
      <c r="C156" s="27"/>
      <c r="D156" s="53"/>
      <c r="E156" s="27"/>
      <c r="F156" s="53"/>
      <c r="G156" s="27"/>
      <c r="H156" s="27"/>
      <c r="I156" s="58"/>
    </row>
    <row r="157" spans="2:9" ht="15" customHeight="1" x14ac:dyDescent="0.25">
      <c r="B157" s="26"/>
      <c r="C157" s="27"/>
      <c r="D157" s="53"/>
      <c r="E157" s="27"/>
      <c r="F157" s="53"/>
      <c r="G157" s="27"/>
      <c r="H157" s="27"/>
      <c r="I157" s="58"/>
    </row>
    <row r="158" spans="2:9" ht="15" customHeight="1" x14ac:dyDescent="0.25">
      <c r="B158" s="26"/>
      <c r="C158" s="27"/>
      <c r="D158" s="53"/>
      <c r="E158" s="27"/>
      <c r="F158" s="53"/>
      <c r="G158" s="27"/>
      <c r="H158" s="27"/>
      <c r="I158" s="58"/>
    </row>
    <row r="159" spans="2:9" ht="15" customHeight="1" x14ac:dyDescent="0.25">
      <c r="B159" s="26"/>
      <c r="C159" s="27"/>
      <c r="D159" s="53"/>
      <c r="E159" s="27"/>
      <c r="F159" s="53"/>
      <c r="G159" s="27"/>
      <c r="H159" s="27"/>
      <c r="I159" s="58"/>
    </row>
    <row r="160" spans="2:9" ht="15" customHeight="1" x14ac:dyDescent="0.25">
      <c r="B160" s="26"/>
      <c r="C160" s="27"/>
      <c r="D160" s="53"/>
      <c r="E160" s="27"/>
      <c r="F160" s="53"/>
      <c r="G160" s="27"/>
      <c r="H160" s="27"/>
      <c r="I160" s="58"/>
    </row>
    <row r="161" spans="2:9" ht="15" customHeight="1" x14ac:dyDescent="0.25">
      <c r="B161" s="26"/>
      <c r="C161" s="27"/>
      <c r="D161" s="53"/>
      <c r="E161" s="27"/>
      <c r="F161" s="53"/>
      <c r="G161" s="27"/>
      <c r="H161" s="27"/>
      <c r="I161" s="58"/>
    </row>
    <row r="162" spans="2:9" ht="15" customHeight="1" x14ac:dyDescent="0.25">
      <c r="B162" s="26"/>
      <c r="C162" s="27"/>
      <c r="D162" s="53"/>
      <c r="E162" s="27"/>
      <c r="F162" s="53"/>
      <c r="G162" s="27"/>
      <c r="H162" s="27"/>
      <c r="I162" s="58"/>
    </row>
    <row r="163" spans="2:9" ht="15" customHeight="1" x14ac:dyDescent="0.25">
      <c r="B163" s="26"/>
      <c r="C163" s="27"/>
      <c r="D163" s="53"/>
      <c r="E163" s="27"/>
      <c r="F163" s="53"/>
      <c r="G163" s="27"/>
      <c r="H163" s="27"/>
      <c r="I163" s="58"/>
    </row>
    <row r="164" spans="2:9" ht="15" customHeight="1" x14ac:dyDescent="0.25">
      <c r="B164" s="26"/>
      <c r="C164" s="27"/>
      <c r="D164" s="53"/>
      <c r="E164" s="27"/>
      <c r="F164" s="53"/>
      <c r="G164" s="27"/>
      <c r="H164" s="27"/>
      <c r="I164" s="58"/>
    </row>
    <row r="165" spans="2:9" ht="15" customHeight="1" x14ac:dyDescent="0.25">
      <c r="B165" s="26"/>
      <c r="C165" s="27"/>
      <c r="D165" s="53"/>
      <c r="E165" s="27"/>
      <c r="F165" s="53"/>
      <c r="G165" s="27"/>
      <c r="H165" s="27"/>
      <c r="I165" s="58"/>
    </row>
    <row r="166" spans="2:9" ht="15" customHeight="1" x14ac:dyDescent="0.25">
      <c r="B166" s="26"/>
      <c r="C166" s="27"/>
      <c r="D166" s="53"/>
      <c r="E166" s="27"/>
      <c r="F166" s="53"/>
      <c r="G166" s="27"/>
      <c r="H166" s="27"/>
      <c r="I166" s="58"/>
    </row>
    <row r="167" spans="2:9" ht="15" customHeight="1" x14ac:dyDescent="0.25">
      <c r="B167" s="26"/>
      <c r="C167" s="27"/>
      <c r="D167" s="53"/>
      <c r="E167" s="27"/>
      <c r="F167" s="53"/>
      <c r="G167" s="27"/>
      <c r="H167" s="27"/>
      <c r="I167" s="58"/>
    </row>
    <row r="168" spans="2:9" ht="15" customHeight="1" x14ac:dyDescent="0.25">
      <c r="B168" s="26"/>
      <c r="C168" s="27"/>
      <c r="D168" s="53"/>
      <c r="E168" s="27"/>
      <c r="F168" s="53"/>
      <c r="G168" s="27"/>
      <c r="H168" s="27"/>
      <c r="I168" s="58"/>
    </row>
    <row r="169" spans="2:9" ht="15" customHeight="1" x14ac:dyDescent="0.25">
      <c r="B169" s="26"/>
      <c r="C169" s="27"/>
      <c r="D169" s="53"/>
      <c r="E169" s="27"/>
      <c r="F169" s="53"/>
      <c r="G169" s="27"/>
      <c r="H169" s="27"/>
      <c r="I169" s="58"/>
    </row>
    <row r="170" spans="2:9" ht="15" customHeight="1" x14ac:dyDescent="0.25">
      <c r="B170" s="26"/>
      <c r="C170" s="27"/>
      <c r="D170" s="53"/>
      <c r="E170" s="27"/>
      <c r="F170" s="53"/>
      <c r="G170" s="27"/>
      <c r="H170" s="27"/>
      <c r="I170" s="58"/>
    </row>
    <row r="171" spans="2:9" ht="15" customHeight="1" x14ac:dyDescent="0.25">
      <c r="B171" s="26"/>
      <c r="C171" s="27"/>
      <c r="D171" s="53"/>
      <c r="E171" s="27"/>
      <c r="F171" s="53"/>
      <c r="G171" s="27"/>
      <c r="H171" s="27"/>
      <c r="I171" s="58"/>
    </row>
    <row r="172" spans="2:9" ht="15" customHeight="1" x14ac:dyDescent="0.25">
      <c r="B172" s="26"/>
      <c r="C172" s="27"/>
      <c r="D172" s="53"/>
      <c r="E172" s="27"/>
      <c r="F172" s="53"/>
      <c r="G172" s="27"/>
      <c r="H172" s="27"/>
      <c r="I172" s="58"/>
    </row>
    <row r="173" spans="2:9" ht="15" customHeight="1" x14ac:dyDescent="0.25">
      <c r="B173" s="26"/>
      <c r="C173" s="27"/>
      <c r="D173" s="53"/>
      <c r="E173" s="27"/>
      <c r="F173" s="53"/>
      <c r="G173" s="27"/>
      <c r="H173" s="27"/>
      <c r="I173" s="58"/>
    </row>
    <row r="174" spans="2:9" ht="15" customHeight="1" x14ac:dyDescent="0.25">
      <c r="B174" s="26"/>
      <c r="C174" s="27"/>
      <c r="D174" s="53"/>
      <c r="E174" s="27"/>
      <c r="F174" s="53"/>
      <c r="G174" s="27"/>
      <c r="H174" s="27"/>
      <c r="I174" s="58"/>
    </row>
    <row r="175" spans="2:9" ht="15" customHeight="1" x14ac:dyDescent="0.25">
      <c r="B175" s="26"/>
      <c r="C175" s="27"/>
      <c r="D175" s="53"/>
      <c r="E175" s="27"/>
      <c r="F175" s="53"/>
      <c r="G175" s="27"/>
      <c r="H175" s="27"/>
      <c r="I175" s="58"/>
    </row>
    <row r="176" spans="2:9" ht="15" customHeight="1" x14ac:dyDescent="0.25">
      <c r="B176" s="26"/>
      <c r="C176" s="27"/>
      <c r="D176" s="53"/>
      <c r="E176" s="27"/>
      <c r="F176" s="53"/>
      <c r="G176" s="27"/>
      <c r="H176" s="27"/>
      <c r="I176" s="58"/>
    </row>
    <row r="177" spans="2:9" ht="15" customHeight="1" x14ac:dyDescent="0.25">
      <c r="B177" s="26"/>
      <c r="C177" s="27"/>
      <c r="D177" s="53"/>
      <c r="E177" s="27"/>
      <c r="F177" s="53"/>
      <c r="G177" s="27"/>
      <c r="H177" s="27"/>
      <c r="I177" s="58"/>
    </row>
    <row r="178" spans="2:9" ht="15" customHeight="1" x14ac:dyDescent="0.25">
      <c r="B178" s="26"/>
      <c r="C178" s="27"/>
      <c r="D178" s="53"/>
      <c r="E178" s="27"/>
      <c r="F178" s="53"/>
      <c r="G178" s="27"/>
      <c r="H178" s="27"/>
      <c r="I178" s="58"/>
    </row>
    <row r="179" spans="2:9" ht="15" customHeight="1" x14ac:dyDescent="0.25">
      <c r="B179" s="26"/>
      <c r="C179" s="27"/>
      <c r="D179" s="53"/>
      <c r="E179" s="27"/>
      <c r="F179" s="53"/>
      <c r="G179" s="27"/>
      <c r="H179" s="27"/>
      <c r="I179" s="58"/>
    </row>
    <row r="180" spans="2:9" ht="15" customHeight="1" x14ac:dyDescent="0.25">
      <c r="B180" s="26"/>
      <c r="C180" s="27"/>
      <c r="D180" s="53"/>
      <c r="E180" s="27"/>
      <c r="F180" s="53"/>
      <c r="G180" s="27"/>
      <c r="H180" s="27"/>
      <c r="I180" s="58"/>
    </row>
    <row r="181" spans="2:9" ht="15" customHeight="1" x14ac:dyDescent="0.25">
      <c r="B181" s="26"/>
      <c r="C181" s="27"/>
      <c r="D181" s="53"/>
      <c r="E181" s="27"/>
      <c r="F181" s="53"/>
      <c r="G181" s="27"/>
      <c r="H181" s="27"/>
      <c r="I181" s="58"/>
    </row>
    <row r="182" spans="2:9" ht="15" customHeight="1" x14ac:dyDescent="0.25">
      <c r="B182" s="26"/>
      <c r="C182" s="27"/>
      <c r="D182" s="53"/>
      <c r="E182" s="27"/>
      <c r="F182" s="53"/>
      <c r="G182" s="27"/>
      <c r="H182" s="27"/>
      <c r="I182" s="58"/>
    </row>
    <row r="183" spans="2:9" ht="15" customHeight="1" x14ac:dyDescent="0.25">
      <c r="B183" s="26"/>
      <c r="C183" s="27"/>
      <c r="D183" s="53"/>
      <c r="E183" s="27"/>
      <c r="F183" s="53"/>
      <c r="G183" s="27"/>
      <c r="H183" s="27"/>
      <c r="I183" s="58"/>
    </row>
    <row r="184" spans="2:9" ht="15" customHeight="1" x14ac:dyDescent="0.25">
      <c r="B184" s="26"/>
      <c r="C184" s="27"/>
      <c r="D184" s="53"/>
      <c r="E184" s="27"/>
      <c r="F184" s="53"/>
      <c r="G184" s="27"/>
      <c r="H184" s="27"/>
      <c r="I184" s="58"/>
    </row>
    <row r="185" spans="2:9" ht="15" customHeight="1" x14ac:dyDescent="0.25">
      <c r="B185" s="26"/>
      <c r="C185" s="27"/>
      <c r="D185" s="53"/>
      <c r="E185" s="27"/>
      <c r="F185" s="53"/>
      <c r="G185" s="27"/>
      <c r="H185" s="27"/>
      <c r="I185" s="58"/>
    </row>
    <row r="186" spans="2:9" ht="15" customHeight="1" x14ac:dyDescent="0.25">
      <c r="B186" s="26"/>
      <c r="C186" s="27"/>
      <c r="D186" s="53"/>
      <c r="E186" s="27"/>
      <c r="F186" s="53"/>
      <c r="G186" s="27"/>
      <c r="H186" s="27"/>
      <c r="I186" s="58"/>
    </row>
    <row r="187" spans="2:9" ht="15" customHeight="1" x14ac:dyDescent="0.25">
      <c r="B187" s="26"/>
      <c r="C187" s="27"/>
      <c r="D187" s="53"/>
      <c r="E187" s="27"/>
      <c r="F187" s="53"/>
      <c r="G187" s="27"/>
      <c r="H187" s="27"/>
      <c r="I187" s="58"/>
    </row>
    <row r="188" spans="2:9" ht="15" customHeight="1" x14ac:dyDescent="0.25">
      <c r="B188" s="26"/>
      <c r="C188" s="27"/>
      <c r="D188" s="53"/>
      <c r="E188" s="27"/>
      <c r="F188" s="53"/>
      <c r="G188" s="27"/>
      <c r="H188" s="27"/>
      <c r="I188" s="58"/>
    </row>
    <row r="189" spans="2:9" ht="15" customHeight="1" x14ac:dyDescent="0.25">
      <c r="B189" s="26"/>
      <c r="C189" s="27"/>
      <c r="D189" s="53"/>
      <c r="E189" s="27"/>
      <c r="F189" s="53"/>
      <c r="G189" s="27"/>
      <c r="H189" s="27"/>
      <c r="I189" s="58"/>
    </row>
    <row r="190" spans="2:9" ht="15" customHeight="1" x14ac:dyDescent="0.25">
      <c r="B190" s="26"/>
      <c r="C190" s="27"/>
      <c r="D190" s="53"/>
      <c r="E190" s="27"/>
      <c r="F190" s="53"/>
      <c r="G190" s="27"/>
      <c r="H190" s="27"/>
      <c r="I190" s="58"/>
    </row>
    <row r="191" spans="2:9" ht="15" customHeight="1" x14ac:dyDescent="0.25">
      <c r="B191" s="26"/>
      <c r="C191" s="27"/>
      <c r="D191" s="53"/>
      <c r="E191" s="27"/>
      <c r="F191" s="53"/>
      <c r="G191" s="27"/>
      <c r="H191" s="27"/>
      <c r="I191" s="58"/>
    </row>
    <row r="192" spans="2:9" ht="15" customHeight="1" x14ac:dyDescent="0.25">
      <c r="B192" s="26"/>
      <c r="C192" s="27"/>
      <c r="D192" s="53"/>
      <c r="E192" s="27"/>
      <c r="F192" s="53"/>
      <c r="G192" s="27"/>
      <c r="H192" s="27"/>
      <c r="I192" s="58"/>
    </row>
    <row r="193" spans="2:9" ht="15" customHeight="1" x14ac:dyDescent="0.25">
      <c r="B193" s="26"/>
      <c r="C193" s="27"/>
      <c r="D193" s="53"/>
      <c r="E193" s="27"/>
      <c r="F193" s="53"/>
      <c r="G193" s="27"/>
      <c r="H193" s="27"/>
      <c r="I193" s="58"/>
    </row>
    <row r="194" spans="2:9" ht="15" customHeight="1" x14ac:dyDescent="0.25">
      <c r="B194" s="26"/>
      <c r="C194" s="27"/>
      <c r="D194" s="53"/>
      <c r="E194" s="27"/>
      <c r="F194" s="53"/>
      <c r="G194" s="27"/>
      <c r="H194" s="27"/>
      <c r="I194" s="58"/>
    </row>
    <row r="195" spans="2:9" ht="15" customHeight="1" x14ac:dyDescent="0.25">
      <c r="B195" s="26"/>
      <c r="C195" s="27"/>
      <c r="D195" s="53"/>
      <c r="E195" s="27"/>
      <c r="F195" s="53"/>
      <c r="G195" s="27"/>
      <c r="H195" s="27"/>
      <c r="I195" s="58"/>
    </row>
    <row r="196" spans="2:9" ht="15" customHeight="1" x14ac:dyDescent="0.25">
      <c r="B196" s="26"/>
      <c r="C196" s="27"/>
      <c r="D196" s="53"/>
      <c r="E196" s="27"/>
      <c r="F196" s="53"/>
      <c r="G196" s="27"/>
      <c r="H196" s="27"/>
      <c r="I196" s="58"/>
    </row>
    <row r="197" spans="2:9" ht="15" customHeight="1" x14ac:dyDescent="0.25">
      <c r="B197" s="26"/>
      <c r="C197" s="27"/>
      <c r="D197" s="53"/>
      <c r="E197" s="27"/>
      <c r="F197" s="53"/>
      <c r="G197" s="27"/>
      <c r="H197" s="27"/>
      <c r="I197" s="58"/>
    </row>
    <row r="198" spans="2:9" ht="15" customHeight="1" x14ac:dyDescent="0.25">
      <c r="B198" s="26"/>
      <c r="C198" s="27"/>
      <c r="D198" s="53"/>
      <c r="E198" s="27"/>
      <c r="F198" s="53"/>
      <c r="G198" s="27"/>
      <c r="H198" s="27"/>
      <c r="I198" s="58"/>
    </row>
    <row r="199" spans="2:9" ht="15" customHeight="1" x14ac:dyDescent="0.25">
      <c r="B199" s="26"/>
      <c r="C199" s="27"/>
      <c r="D199" s="53"/>
      <c r="E199" s="27"/>
      <c r="F199" s="53"/>
      <c r="G199" s="27"/>
      <c r="H199" s="27"/>
      <c r="I199" s="58"/>
    </row>
    <row r="200" spans="2:9" ht="15" customHeight="1" x14ac:dyDescent="0.25">
      <c r="B200" s="26"/>
      <c r="C200" s="27"/>
      <c r="D200" s="53"/>
      <c r="E200" s="27"/>
      <c r="F200" s="53"/>
      <c r="G200" s="27"/>
      <c r="H200" s="27"/>
      <c r="I200" s="58"/>
    </row>
    <row r="201" spans="2:9" ht="15" customHeight="1" x14ac:dyDescent="0.25">
      <c r="B201" s="26"/>
      <c r="C201" s="27"/>
      <c r="D201" s="53"/>
      <c r="E201" s="27"/>
      <c r="F201" s="53"/>
      <c r="G201" s="27"/>
      <c r="H201" s="27"/>
      <c r="I201" s="58"/>
    </row>
    <row r="202" spans="2:9" ht="15" customHeight="1" x14ac:dyDescent="0.25">
      <c r="B202" s="26"/>
      <c r="C202" s="27"/>
      <c r="D202" s="53"/>
      <c r="E202" s="27"/>
      <c r="F202" s="53"/>
      <c r="G202" s="27"/>
      <c r="H202" s="27"/>
      <c r="I202" s="58"/>
    </row>
    <row r="203" spans="2:9" ht="15" customHeight="1" x14ac:dyDescent="0.25">
      <c r="B203" s="26"/>
      <c r="C203" s="27"/>
      <c r="D203" s="53"/>
      <c r="E203" s="27"/>
      <c r="F203" s="53"/>
      <c r="G203" s="27"/>
      <c r="H203" s="27"/>
      <c r="I203" s="58"/>
    </row>
    <row r="204" spans="2:9" ht="15" customHeight="1" x14ac:dyDescent="0.25">
      <c r="B204" s="26"/>
      <c r="C204" s="27"/>
      <c r="D204" s="53"/>
      <c r="E204" s="27"/>
      <c r="F204" s="53"/>
      <c r="G204" s="27"/>
      <c r="H204" s="27"/>
      <c r="I204" s="58"/>
    </row>
    <row r="205" spans="2:9" ht="15" customHeight="1" x14ac:dyDescent="0.25">
      <c r="B205" s="26"/>
      <c r="C205" s="27"/>
      <c r="D205" s="53"/>
      <c r="E205" s="27"/>
      <c r="F205" s="53"/>
      <c r="G205" s="27"/>
      <c r="H205" s="27"/>
      <c r="I205" s="58"/>
    </row>
    <row r="206" spans="2:9" ht="15" customHeight="1" x14ac:dyDescent="0.25">
      <c r="B206" s="26"/>
      <c r="C206" s="27"/>
      <c r="D206" s="53"/>
      <c r="E206" s="27"/>
      <c r="F206" s="53"/>
      <c r="G206" s="27"/>
      <c r="H206" s="27"/>
      <c r="I206" s="58"/>
    </row>
    <row r="207" spans="2:9" ht="15" customHeight="1" x14ac:dyDescent="0.25">
      <c r="B207" s="26"/>
      <c r="C207" s="27"/>
      <c r="D207" s="53"/>
      <c r="E207" s="27"/>
      <c r="F207" s="53"/>
      <c r="G207" s="27"/>
      <c r="H207" s="27"/>
      <c r="I207" s="58"/>
    </row>
    <row r="208" spans="2:9" ht="15" customHeight="1" x14ac:dyDescent="0.25">
      <c r="B208" s="26"/>
      <c r="C208" s="27"/>
      <c r="D208" s="53"/>
      <c r="E208" s="27"/>
      <c r="F208" s="53"/>
      <c r="G208" s="27"/>
      <c r="H208" s="27"/>
      <c r="I208" s="58"/>
    </row>
    <row r="209" spans="2:9" ht="15" customHeight="1" x14ac:dyDescent="0.25">
      <c r="B209" s="26"/>
      <c r="C209" s="27"/>
      <c r="D209" s="53"/>
      <c r="E209" s="27"/>
      <c r="F209" s="53"/>
      <c r="G209" s="27"/>
      <c r="H209" s="27"/>
      <c r="I209" s="58"/>
    </row>
    <row r="210" spans="2:9" ht="15" customHeight="1" x14ac:dyDescent="0.25">
      <c r="B210" s="26"/>
      <c r="C210" s="27"/>
      <c r="D210" s="53"/>
      <c r="E210" s="27"/>
      <c r="F210" s="53"/>
      <c r="G210" s="27"/>
      <c r="H210" s="27"/>
      <c r="I210" s="58"/>
    </row>
    <row r="211" spans="2:9" ht="15" customHeight="1" x14ac:dyDescent="0.25">
      <c r="B211" s="26"/>
      <c r="C211" s="27"/>
      <c r="D211" s="53"/>
      <c r="E211" s="27"/>
      <c r="F211" s="53"/>
      <c r="G211" s="27"/>
      <c r="H211" s="27"/>
      <c r="I211" s="58"/>
    </row>
    <row r="212" spans="2:9" ht="15" customHeight="1" x14ac:dyDescent="0.25">
      <c r="B212" s="26"/>
      <c r="C212" s="27"/>
      <c r="D212" s="53"/>
      <c r="E212" s="27"/>
      <c r="F212" s="53"/>
      <c r="G212" s="27"/>
      <c r="H212" s="27"/>
      <c r="I212" s="58"/>
    </row>
    <row r="213" spans="2:9" ht="15" customHeight="1" x14ac:dyDescent="0.25">
      <c r="B213" s="26"/>
      <c r="C213" s="27"/>
      <c r="D213" s="53"/>
      <c r="E213" s="27"/>
      <c r="F213" s="53"/>
      <c r="G213" s="27"/>
      <c r="H213" s="27"/>
      <c r="I213" s="58"/>
    </row>
    <row r="214" spans="2:9" ht="15" customHeight="1" x14ac:dyDescent="0.25">
      <c r="B214" s="26"/>
      <c r="C214" s="27"/>
      <c r="D214" s="53"/>
      <c r="E214" s="27"/>
      <c r="F214" s="53"/>
      <c r="G214" s="27"/>
      <c r="H214" s="27"/>
      <c r="I214" s="58"/>
    </row>
    <row r="215" spans="2:9" ht="15" customHeight="1" x14ac:dyDescent="0.25">
      <c r="B215" s="26"/>
      <c r="C215" s="27"/>
      <c r="D215" s="53"/>
      <c r="E215" s="27"/>
      <c r="F215" s="53"/>
      <c r="G215" s="27"/>
      <c r="H215" s="27"/>
      <c r="I215" s="58"/>
    </row>
    <row r="216" spans="2:9" ht="15" customHeight="1" x14ac:dyDescent="0.25">
      <c r="B216" s="26"/>
      <c r="C216" s="27"/>
      <c r="D216" s="53"/>
      <c r="E216" s="27"/>
      <c r="F216" s="53"/>
      <c r="G216" s="27"/>
      <c r="H216" s="27"/>
      <c r="I216" s="58"/>
    </row>
    <row r="217" spans="2:9" ht="15" customHeight="1" x14ac:dyDescent="0.25">
      <c r="B217" s="26"/>
      <c r="C217" s="27"/>
      <c r="D217" s="53"/>
      <c r="E217" s="27"/>
      <c r="F217" s="53"/>
      <c r="G217" s="27"/>
      <c r="H217" s="27"/>
      <c r="I217" s="58"/>
    </row>
    <row r="218" spans="2:9" ht="15" customHeight="1" x14ac:dyDescent="0.25">
      <c r="B218" s="26"/>
      <c r="C218" s="27"/>
      <c r="D218" s="53"/>
      <c r="E218" s="27"/>
      <c r="F218" s="53"/>
      <c r="G218" s="27"/>
      <c r="H218" s="27"/>
      <c r="I218" s="58"/>
    </row>
    <row r="219" spans="2:9" ht="15" customHeight="1" x14ac:dyDescent="0.25">
      <c r="B219" s="26"/>
      <c r="C219" s="27"/>
      <c r="D219" s="53"/>
      <c r="E219" s="27"/>
      <c r="F219" s="53"/>
      <c r="G219" s="27"/>
      <c r="H219" s="27"/>
      <c r="I219" s="58"/>
    </row>
    <row r="220" spans="2:9" ht="15" customHeight="1" x14ac:dyDescent="0.25">
      <c r="B220" s="26"/>
      <c r="C220" s="27"/>
      <c r="D220" s="53"/>
      <c r="E220" s="27"/>
      <c r="F220" s="53"/>
      <c r="G220" s="27"/>
      <c r="H220" s="27"/>
      <c r="I220" s="58"/>
    </row>
    <row r="221" spans="2:9" ht="15" customHeight="1" x14ac:dyDescent="0.25">
      <c r="B221" s="26"/>
      <c r="C221" s="27"/>
      <c r="D221" s="53"/>
      <c r="E221" s="27"/>
      <c r="F221" s="53"/>
      <c r="G221" s="27"/>
      <c r="H221" s="27"/>
      <c r="I221" s="58"/>
    </row>
    <row r="222" spans="2:9" ht="15" customHeight="1" x14ac:dyDescent="0.25">
      <c r="B222" s="26"/>
      <c r="C222" s="27"/>
      <c r="D222" s="53"/>
      <c r="E222" s="27"/>
      <c r="F222" s="53"/>
      <c r="G222" s="27"/>
      <c r="H222" s="27"/>
      <c r="I222" s="58"/>
    </row>
    <row r="223" spans="2:9" ht="15" customHeight="1" x14ac:dyDescent="0.25">
      <c r="B223" s="26"/>
      <c r="C223" s="27"/>
      <c r="D223" s="53"/>
      <c r="E223" s="27"/>
      <c r="F223" s="53"/>
      <c r="G223" s="27"/>
      <c r="H223" s="27"/>
      <c r="I223" s="58"/>
    </row>
    <row r="224" spans="2:9" ht="15" customHeight="1" x14ac:dyDescent="0.25">
      <c r="B224" s="26"/>
      <c r="C224" s="27"/>
      <c r="D224" s="53"/>
      <c r="E224" s="27"/>
      <c r="F224" s="53"/>
      <c r="G224" s="27"/>
      <c r="H224" s="27"/>
      <c r="I224" s="58"/>
    </row>
    <row r="225" spans="2:9" ht="15" customHeight="1" x14ac:dyDescent="0.25">
      <c r="B225" s="26"/>
      <c r="C225" s="27"/>
      <c r="D225" s="53"/>
      <c r="E225" s="27"/>
      <c r="F225" s="53"/>
      <c r="G225" s="27"/>
      <c r="H225" s="27"/>
      <c r="I225" s="58"/>
    </row>
    <row r="226" spans="2:9" ht="15" customHeight="1" x14ac:dyDescent="0.25">
      <c r="B226" s="26"/>
      <c r="C226" s="27"/>
      <c r="D226" s="53"/>
      <c r="E226" s="27"/>
      <c r="F226" s="53"/>
      <c r="G226" s="27"/>
      <c r="H226" s="27"/>
      <c r="I226" s="58"/>
    </row>
    <row r="227" spans="2:9" ht="15" customHeight="1" x14ac:dyDescent="0.25">
      <c r="B227" s="26"/>
      <c r="C227" s="27"/>
      <c r="D227" s="53"/>
      <c r="E227" s="27"/>
      <c r="F227" s="53"/>
      <c r="G227" s="27"/>
      <c r="H227" s="27"/>
      <c r="I227" s="58"/>
    </row>
    <row r="228" spans="2:9" ht="15" customHeight="1" x14ac:dyDescent="0.25">
      <c r="B228" s="26"/>
      <c r="C228" s="27"/>
      <c r="D228" s="53"/>
      <c r="E228" s="27"/>
      <c r="F228" s="53"/>
      <c r="G228" s="27"/>
      <c r="H228" s="27"/>
      <c r="I228" s="58"/>
    </row>
    <row r="229" spans="2:9" ht="15" customHeight="1" x14ac:dyDescent="0.25">
      <c r="B229" s="26"/>
      <c r="C229" s="27"/>
      <c r="D229" s="53"/>
      <c r="E229" s="27"/>
      <c r="F229" s="53"/>
      <c r="G229" s="27"/>
      <c r="H229" s="27"/>
      <c r="I229" s="58"/>
    </row>
    <row r="230" spans="2:9" ht="15" customHeight="1" x14ac:dyDescent="0.25">
      <c r="B230" s="26"/>
      <c r="C230" s="27"/>
      <c r="D230" s="53"/>
      <c r="E230" s="27"/>
      <c r="F230" s="53"/>
      <c r="G230" s="27"/>
      <c r="H230" s="27"/>
      <c r="I230" s="58"/>
    </row>
    <row r="231" spans="2:9" ht="15" customHeight="1" x14ac:dyDescent="0.25">
      <c r="B231" s="26"/>
      <c r="C231" s="27"/>
      <c r="D231" s="53"/>
      <c r="E231" s="27"/>
      <c r="F231" s="53"/>
      <c r="G231" s="27"/>
      <c r="H231" s="27"/>
      <c r="I231" s="58"/>
    </row>
    <row r="232" spans="2:9" ht="15" customHeight="1" x14ac:dyDescent="0.25">
      <c r="B232" s="26"/>
      <c r="C232" s="27"/>
      <c r="D232" s="53"/>
      <c r="E232" s="27"/>
      <c r="F232" s="53"/>
      <c r="G232" s="27"/>
      <c r="H232" s="27"/>
      <c r="I232" s="58"/>
    </row>
    <row r="233" spans="2:9" ht="15" customHeight="1" x14ac:dyDescent="0.25">
      <c r="B233" s="26"/>
      <c r="C233" s="27"/>
      <c r="D233" s="53"/>
      <c r="E233" s="27"/>
      <c r="F233" s="53"/>
      <c r="G233" s="27"/>
      <c r="H233" s="27"/>
      <c r="I233" s="58"/>
    </row>
    <row r="234" spans="2:9" ht="15" customHeight="1" thickBot="1" x14ac:dyDescent="0.3">
      <c r="B234" s="49"/>
      <c r="C234" s="50"/>
      <c r="D234" s="54"/>
      <c r="E234" s="50"/>
      <c r="F234" s="54"/>
      <c r="G234" s="50"/>
      <c r="H234" s="50"/>
      <c r="I234" s="59"/>
    </row>
  </sheetData>
  <autoFilter ref="B4:V112" xr:uid="{00000000-0001-0000-0000-000000000000}"/>
  <mergeCells count="3">
    <mergeCell ref="B2:M2"/>
    <mergeCell ref="J3:M3"/>
    <mergeCell ref="B3:I3"/>
  </mergeCells>
  <phoneticPr fontId="0" type="noConversion"/>
  <pageMargins left="0.75" right="0.75" top="0.75" bottom="0.75" header="0.25" footer="0.2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_ФильтрБазыДанных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gZEVI .</cp:lastModifiedBy>
  <dcterms:created xsi:type="dcterms:W3CDTF">2026-03-09T16:27:09Z</dcterms:created>
  <dcterms:modified xsi:type="dcterms:W3CDTF">2026-10-13T19:15:50Z</dcterms:modified>
</cp:coreProperties>
</file>